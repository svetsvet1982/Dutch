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진행 현황" sheetId="2" state="visible" r:id="rId4"/>
    <sheet name="등장인물" sheetId="3" state="visible" r:id="rId5"/>
    <sheet name="난이도 설계" sheetId="4" state="visible" r:id="rId6"/>
    <sheet name="화별 개요" sheetId="5" state="visible" r:id="rId7"/>
    <sheet name="문체 원칙" sheetId="6" state="visible" r:id="rId8"/>
    <sheet name="부별 어휘 영역" sheetId="7" state="visible" r:id="rId9"/>
    <sheet name="소재별 배치" sheetId="8" state="visible" r:id="rId10"/>
  </sheets>
  <definedNames>
    <definedName function="false" hidden="true" localSheetId="4" name="_xlnm._FilterDatabase" vbProcedure="false">'화별 개요'!$A$1:$H$91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<sst xmlns="http://schemas.openxmlformats.org/spreadsheetml/2006/main" count="788" uniqueCount="505">
  <si>
    <t xml:space="preserve">《Het Hoekhuis》 네덜란드어 연속 대화문 기획서</t>
  </si>
  <si>
    <t xml:space="preserve">암스테르담 요르단 지구 운하변 건물의 1년 하고도 한 계절. 네덜란드인끼리의 구어 낭독 연습용.</t>
  </si>
  <si>
    <t xml:space="preserve">항목</t>
  </si>
  <si>
    <t xml:space="preserve">내용</t>
  </si>
  <si>
    <t xml:space="preserve">배경</t>
  </si>
  <si>
    <t xml:space="preserve">암스테르담 요르단 지구의 운하변 건물 한 채 (1층 브라운 카페, 2층 자전거 수리점·주거, 3~4층 세입자) + 학교, 직장, 병원, 해변, 시청, 얼음 위</t>
  </si>
  <si>
    <t xml:space="preserve">분량</t>
  </si>
  <si>
    <t xml:space="preserve">총 5부 × 18화 = 90화</t>
  </si>
  <si>
    <t xml:space="preserve">화당 길이</t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</si>
  <si>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화자 발화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= 1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지문은 턴 수에 포함하지 않음</t>
    </r>
    <r>
      <rPr>
        <sz val="10"/>
        <rFont val="Arial"/>
        <family val="0"/>
        <charset val="1"/>
      </rPr>
      <t xml:space="preserve">)</t>
    </r>
  </si>
  <si>
    <t xml:space="preserve">총 분량</t>
  </si>
  <si>
    <r>
      <rPr>
        <sz val="10"/>
        <rFont val="Arial"/>
        <family val="0"/>
        <charset val="1"/>
      </rPr>
      <t xml:space="preserve">10,800</t>
    </r>
    <r>
      <rPr>
        <sz val="10"/>
        <rFont val="WenQuanYi Zen Hei"/>
        <family val="2"/>
      </rPr>
      <t xml:space="preserve">턴</t>
    </r>
  </si>
  <si>
    <t xml:space="preserve">턴 번호</t>
  </si>
  <si>
    <t xml:space="preserve">표기하지 않음 (Bram : 처럼 화자 이름으로만 구분)</t>
  </si>
  <si>
    <t xml:space="preserve">화자 수</t>
  </si>
  <si>
    <t xml:space="preserve">한 화 2~4명. 카페 장면은 최대 5명</t>
  </si>
  <si>
    <t xml:space="preserve">구성 원칙</t>
  </si>
  <si>
    <t xml:space="preserve">네덜란드의 한 해 달력(킹스데이, 신터클라스, 결빙 등)을 따라가는 군상극. 화마다 주인공 인물이 바뀜</t>
  </si>
  <si>
    <t xml:space="preserve">난이도</t>
  </si>
  <si>
    <r>
      <rPr>
        <sz val="10"/>
        <rFont val="Arial"/>
        <family val="0"/>
        <charset val="1"/>
      </rPr>
      <t xml:space="preserve">A2~C1 </t>
    </r>
    <r>
      <rPr>
        <sz val="10"/>
        <rFont val="WenQuanYi Zen Hei"/>
        <family val="2"/>
      </rPr>
      <t xml:space="preserve">혼합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장 비율표</t>
    </r>
    <r>
      <rPr>
        <sz val="10"/>
        <rFont val="Arial"/>
        <family val="0"/>
        <charset val="1"/>
      </rPr>
      <t xml:space="preserve">)</t>
    </r>
  </si>
  <si>
    <t xml:space="preserve">한글 해석</t>
  </si>
  <si>
    <t xml:space="preserve">각 화 맨 마지막에 대화 순서대로 수록</t>
  </si>
  <si>
    <t xml:space="preserve">낭독 용도</t>
  </si>
  <si>
    <t xml:space="preserve">각 화에 낭독 포인트(g/ch, ui, eu, ij/ei, sch, oe/uu, 축약, 억양)를 명시</t>
  </si>
  <si>
    <t xml:space="preserve">집계 ("화별 개요" 시트에서 자동 계산)</t>
  </si>
  <si>
    <t xml:space="preserve">총 화수</t>
  </si>
  <si>
    <t xml:space="preserve">화당 턴 수</t>
  </si>
  <si>
    <t xml:space="preserve">총 턴 수</t>
  </si>
  <si>
    <t xml:space="preserve">부 수</t>
  </si>
  <si>
    <t xml:space="preserve">부당 화수</t>
  </si>
  <si>
    <t xml:space="preserve">※ 화당 턴 수(파란색)는 입력값입니다. 화별 개요 시트의 턴 수 열과 함께 바꾸면 합계가 갱신됩니다.</t>
  </si>
  <si>
    <t xml:space="preserve">부</t>
  </si>
  <si>
    <t xml:space="preserve">전체 화수</t>
  </si>
  <si>
    <t xml:space="preserve">작성 완료(초고+검수)</t>
  </si>
  <si>
    <t xml:space="preserve">진행률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</si>
  <si>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Lente (</t>
    </r>
    <r>
      <rPr>
        <sz val="10"/>
        <rFont val="WenQuanYi Zen Hei"/>
        <family val="2"/>
      </rPr>
      <t xml:space="preserve">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</si>
  <si>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Zomer (</t>
    </r>
    <r>
      <rPr>
        <sz val="10"/>
        <rFont val="WenQuanYi Zen Hei"/>
        <family val="2"/>
      </rPr>
      <t xml:space="preserve">여름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</si>
  <si>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Herfst (</t>
    </r>
    <r>
      <rPr>
        <sz val="10"/>
        <rFont val="WenQuanYi Zen Hei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</si>
  <si>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Winter (</t>
    </r>
    <r>
      <rPr>
        <sz val="10"/>
        <rFont val="WenQuanYi Zen Hei"/>
        <family val="2"/>
      </rPr>
      <t xml:space="preserve">겨울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</si>
  <si>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Nieuwe lente (</t>
    </r>
    <r>
      <rPr>
        <sz val="10"/>
        <rFont val="WenQuanYi Zen Hei"/>
        <family val="2"/>
      </rPr>
      <t xml:space="preserve">이듬해 봄</t>
    </r>
    <r>
      <rPr>
        <sz val="10"/>
        <rFont val="Arial"/>
        <family val="0"/>
        <charset val="1"/>
      </rPr>
      <t xml:space="preserve">)</t>
    </r>
  </si>
  <si>
    <t xml:space="preserve">합계</t>
  </si>
  <si>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화별 개요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작성 상태</t>
    </r>
    <r>
      <rPr>
        <i val="true"/>
        <sz val="9"/>
        <rFont val="Arial"/>
        <family val="0"/>
        <charset val="1"/>
      </rPr>
      <t xml:space="preserve">(H</t>
    </r>
    <r>
      <rPr>
        <i val="true"/>
        <sz val="9"/>
        <rFont val="WenQuanYi Zen Hei"/>
        <family val="2"/>
      </rPr>
      <t xml:space="preserve">열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를 바꾸면 이 표가 자동 갱신됩니다</t>
    </r>
    <r>
      <rPr>
        <i val="true"/>
        <sz val="9"/>
        <rFont val="Arial"/>
        <family val="0"/>
        <charset val="1"/>
      </rPr>
      <t xml:space="preserve">.</t>
    </r>
  </si>
  <si>
    <t xml:space="preserve">이름</t>
  </si>
  <si>
    <t xml:space="preserve">설정</t>
  </si>
  <si>
    <t xml:space="preserve">맡는 소재</t>
  </si>
  <si>
    <r>
      <rPr>
        <sz val="10"/>
        <rFont val="Arial"/>
        <family val="0"/>
        <charset val="1"/>
      </rPr>
      <t xml:space="preserve">Bram de Wit (</t>
    </r>
    <r>
      <rPr>
        <sz val="10"/>
        <rFont val="WenQuanYi Zen Hei"/>
        <family val="2"/>
      </rPr>
      <t xml:space="preserve">브람 더 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</si>
  <si>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카페 주인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아약스 열성 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말이 많고 정이 많음</t>
    </r>
  </si>
  <si>
    <t xml:space="preserve">창업·경영, 스포츠, 이웃 소문</t>
  </si>
  <si>
    <r>
      <rPr>
        <sz val="10"/>
        <rFont val="Arial"/>
        <family val="0"/>
        <charset val="1"/>
      </rPr>
      <t xml:space="preserve">Marieke de Wit (</t>
    </r>
    <r>
      <rPr>
        <sz val="10"/>
        <rFont val="WenQuanYi Zen Hei"/>
        <family val="2"/>
      </rPr>
      <t xml:space="preserve">마리커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</si>
  <si>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브람의 딸</t>
    </r>
    <r>
      <rPr>
        <sz val="10"/>
        <rFont val="Arial"/>
        <family val="0"/>
        <charset val="1"/>
      </rPr>
      <t xml:space="preserve">, IT </t>
    </r>
    <r>
      <rPr>
        <sz val="10"/>
        <rFont val="WenQuanYi Zen Hei"/>
        <family val="2"/>
      </rPr>
      <t xml:space="preserve">회사 팀장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일에 치여 삶</t>
    </r>
  </si>
  <si>
    <t xml:space="preserve">직장 합의 문화, 육아, 이직</t>
  </si>
  <si>
    <r>
      <rPr>
        <sz val="10"/>
        <rFont val="Arial"/>
        <family val="0"/>
        <charset val="1"/>
      </rPr>
      <t xml:space="preserve">Daan Veldhuis (</t>
    </r>
    <r>
      <rPr>
        <sz val="10"/>
        <rFont val="WenQuanYi Zen Hei"/>
        <family val="2"/>
      </rPr>
      <t xml:space="preserve">단 펠트하위스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</si>
  <si>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건물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층 자전거 수리공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프리랜서</t>
    </r>
    <r>
      <rPr>
        <sz val="10"/>
        <rFont val="Arial"/>
        <family val="0"/>
        <charset val="1"/>
      </rPr>
      <t xml:space="preserve">(ZZP). </t>
    </r>
    <r>
      <rPr>
        <sz val="10"/>
        <rFont val="WenQuanYi Zen Hei"/>
        <family val="2"/>
      </rPr>
      <t xml:space="preserve">느긋하고 유머러스</t>
    </r>
  </si>
  <si>
    <t xml:space="preserve">자전거, 가게 운영, 프리랜서</t>
  </si>
  <si>
    <r>
      <rPr>
        <sz val="10"/>
        <rFont val="Arial"/>
        <family val="0"/>
        <charset val="1"/>
      </rPr>
      <t xml:space="preserve">Yasmin Aksoy (</t>
    </r>
    <r>
      <rPr>
        <sz val="10"/>
        <rFont val="WenQuanYi Zen Hei"/>
        <family val="2"/>
      </rPr>
      <t xml:space="preserve">야스민 악소이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</si>
  <si>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터키계 네덜란드인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초등학교 </t>
    </r>
    <r>
      <rPr>
        <sz val="10"/>
        <rFont val="Arial"/>
        <family val="0"/>
        <charset val="1"/>
      </rPr>
      <t xml:space="preserve">groep 7(</t>
    </r>
    <r>
      <rPr>
        <sz val="10"/>
        <rFont val="WenQuanYi Zen Hei"/>
        <family val="2"/>
      </rPr>
      <t xml:space="preserve">가을부터 </t>
    </r>
    <r>
      <rPr>
        <sz val="10"/>
        <rFont val="Arial"/>
        <family val="0"/>
        <charset val="1"/>
      </rPr>
      <t xml:space="preserve">groep 8) </t>
    </r>
    <r>
      <rPr>
        <sz val="10"/>
        <rFont val="WenQuanYi Zen Hei"/>
        <family val="2"/>
      </rPr>
      <t xml:space="preserve">아들 </t>
    </r>
    <r>
      <rPr>
        <sz val="10"/>
        <rFont val="Arial"/>
        <family val="0"/>
        <charset val="1"/>
      </rPr>
      <t xml:space="preserve">Emre</t>
    </r>
    <r>
      <rPr>
        <sz val="10"/>
        <rFont val="WenQuanYi Zen Hei"/>
        <family val="2"/>
      </rPr>
      <t xml:space="preserve">의 엄마</t>
    </r>
  </si>
  <si>
    <t xml:space="preserve">학교, 학부모 모임, 정체성, 협동조합</t>
  </si>
  <si>
    <r>
      <rPr>
        <sz val="10"/>
        <rFont val="Arial"/>
        <family val="0"/>
        <charset val="1"/>
      </rPr>
      <t xml:space="preserve">Opa Kees (</t>
    </r>
    <r>
      <rPr>
        <sz val="10"/>
        <rFont val="WenQuanYi Zen Hei"/>
        <family val="2"/>
      </rPr>
      <t xml:space="preserve">오파 케이스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</si>
  <si>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83~84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(6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세 생일</t>
    </r>
    <r>
      <rPr>
        <sz val="10"/>
        <rFont val="Arial"/>
        <family val="0"/>
        <charset val="1"/>
      </rPr>
      <t xml:space="preserve">, 88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세 생일</t>
    </r>
    <r>
      <rPr>
        <sz val="10"/>
        <rFont val="Arial"/>
        <family val="0"/>
        <charset val="1"/>
      </rPr>
      <t xml:space="preserve">), 3</t>
    </r>
    <r>
      <rPr>
        <sz val="10"/>
        <rFont val="WenQuanYi Zen Hei"/>
        <family val="2"/>
      </rPr>
      <t xml:space="preserve">층 오래된 세입자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젤란트 출신으로 열 살에 </t>
    </r>
    <r>
      <rPr>
        <sz val="10"/>
        <rFont val="Arial"/>
        <family val="0"/>
        <charset val="1"/>
      </rPr>
      <t xml:space="preserve">1953</t>
    </r>
    <r>
      <rPr>
        <sz val="10"/>
        <rFont val="WenQuanYi Zen Hei"/>
        <family val="2"/>
      </rPr>
      <t xml:space="preserve">년 홍수를 겪었고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전쟁 이야기는 부모에게서 들음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스케이팅과 옛이야기</t>
    </r>
  </si>
  <si>
    <t xml:space="preserve">명절, 얼음, 회상, 노년, 건강</t>
  </si>
  <si>
    <r>
      <rPr>
        <sz val="10"/>
        <rFont val="Arial"/>
        <family val="0"/>
        <charset val="1"/>
      </rPr>
      <t xml:space="preserve">Jesse van Dijk (</t>
    </r>
    <r>
      <rPr>
        <sz val="10"/>
        <rFont val="WenQuanYi Zen Hei"/>
        <family val="2"/>
      </rPr>
      <t xml:space="preserve">예서 판 데이크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</si>
  <si>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친구 집 소파를 전전하는 청년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마케팅 계약직</t>
    </r>
  </si>
  <si>
    <t xml:space="preserve">주택난, 월세, 연애, 이사</t>
  </si>
  <si>
    <r>
      <rPr>
        <sz val="10"/>
        <rFont val="Arial"/>
        <family val="0"/>
        <charset val="1"/>
      </rPr>
      <t xml:space="preserve">Mevrouw Smit (</t>
    </r>
    <r>
      <rPr>
        <sz val="10"/>
        <rFont val="WenQuanYi Zen Hei"/>
        <family val="2"/>
      </rPr>
      <t xml:space="preserve">스미트 부인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</si>
  <si>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옆집 이웃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규칙에 엄격하나 속은 따뜻함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고양이 </t>
    </r>
    <r>
      <rPr>
        <sz val="10"/>
        <rFont val="Arial"/>
        <family val="0"/>
        <charset val="1"/>
      </rPr>
      <t xml:space="preserve">Poes</t>
    </r>
    <r>
      <rPr>
        <sz val="10"/>
        <rFont val="WenQuanYi Zen Hei"/>
        <family val="2"/>
      </rPr>
      <t xml:space="preserve">를 키움</t>
    </r>
  </si>
  <si>
    <t xml:space="preserve">소음·쓰레기·계단 청소, 반려동물</t>
  </si>
  <si>
    <r>
      <rPr>
        <sz val="10"/>
        <rFont val="Arial"/>
        <family val="0"/>
        <charset val="1"/>
      </rPr>
      <t xml:space="preserve">Emre Aksoy (</t>
    </r>
    <r>
      <rPr>
        <sz val="10"/>
        <rFont val="WenQuanYi Zen Hei"/>
        <family val="2"/>
      </rPr>
      <t xml:space="preserve">에므레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</si>
  <si>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 → 11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야스민의 아들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봄에는 </t>
    </r>
    <r>
      <rPr>
        <sz val="10"/>
        <rFont val="Arial"/>
        <family val="0"/>
        <charset val="1"/>
      </rPr>
      <t xml:space="preserve">groep 7, 3</t>
    </r>
    <r>
      <rPr>
        <sz val="10"/>
        <rFont val="WenQuanYi Zen Hei"/>
        <family val="2"/>
      </rPr>
      <t xml:space="preserve">부 가을부터 초등 마지막 학년 </t>
    </r>
    <r>
      <rPr>
        <sz val="10"/>
        <rFont val="Arial"/>
        <family val="0"/>
        <charset val="1"/>
      </rPr>
      <t xml:space="preserve">groep 8</t>
    </r>
  </si>
  <si>
    <t xml:space="preserve">학교, 자전거, 스마트폰</t>
  </si>
  <si>
    <r>
      <rPr>
        <sz val="10"/>
        <rFont val="Arial"/>
        <family val="0"/>
        <charset val="1"/>
      </rPr>
      <t xml:space="preserve">Karin (</t>
    </r>
    <r>
      <rPr>
        <sz val="10"/>
        <rFont val="WenQuanYi Zen Hei"/>
        <family val="2"/>
      </rPr>
      <t xml:space="preserve">카린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</si>
  <si>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카페 단골이자 바텐더 알바</t>
    </r>
  </si>
  <si>
    <t xml:space="preserve">카페 소문, 중매, 구어 담당</t>
  </si>
  <si>
    <r>
      <rPr>
        <sz val="10"/>
        <rFont val="Arial"/>
        <family val="0"/>
        <charset val="1"/>
      </rPr>
      <t xml:space="preserve">Tess van Gils (</t>
    </r>
    <r>
      <rPr>
        <sz val="10"/>
        <rFont val="WenQuanYi Zen Hei"/>
        <family val="2"/>
      </rPr>
      <t xml:space="preserve">테스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</si>
  <si>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예서가 앱에서 만난 데이트 상대</t>
    </r>
  </si>
  <si>
    <t xml:space="preserve">연애</t>
  </si>
  <si>
    <r>
      <rPr>
        <sz val="10"/>
        <rFont val="Arial"/>
        <family val="0"/>
        <charset val="1"/>
      </rPr>
      <t xml:space="preserve">Hatice &amp; Mustafa Aksoy (</t>
    </r>
    <r>
      <rPr>
        <sz val="10"/>
        <rFont val="WenQuanYi Zen Hei"/>
        <family val="2"/>
      </rPr>
      <t xml:space="preserve">하티제와 무스타파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</si>
  <si>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야스민의 부모님</t>
    </r>
  </si>
  <si>
    <t xml:space="preserve">이주·정체성, 세대</t>
  </si>
  <si>
    <r>
      <rPr>
        <sz val="10"/>
        <rFont val="Arial"/>
        <family val="0"/>
        <charset val="1"/>
      </rPr>
      <t xml:space="preserve">Femke &amp; Joost (</t>
    </r>
    <r>
      <rPr>
        <sz val="10"/>
        <rFont val="WenQuanYi Zen Hei"/>
        <family val="2"/>
      </rPr>
      <t xml:space="preserve">펨커와 요스트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</si>
  <si>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이웃 부부</t>
    </r>
  </si>
  <si>
    <t xml:space="preserve">결혼식, 이웃</t>
  </si>
  <si>
    <r>
      <rPr>
        <sz val="10"/>
        <rFont val="Arial"/>
        <family val="0"/>
        <charset val="1"/>
      </rPr>
      <t xml:space="preserve">Dr. Jansen (</t>
    </r>
    <r>
      <rPr>
        <sz val="10"/>
        <rFont val="WenQuanYi Zen Hei"/>
        <family val="2"/>
      </rPr>
      <t xml:space="preserve">얀선 의사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</si>
  <si>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가정의</t>
    </r>
  </si>
  <si>
    <t xml:space="preserve">건강·보험</t>
  </si>
  <si>
    <r>
      <rPr>
        <sz val="10"/>
        <rFont val="Arial"/>
        <family val="0"/>
        <charset val="1"/>
      </rPr>
      <t xml:space="preserve">Dhr. Van Rooijen (</t>
    </r>
    <r>
      <rPr>
        <sz val="10"/>
        <rFont val="WenQuanYi Zen Hei"/>
        <family val="2"/>
      </rPr>
      <t xml:space="preserve">판 로이옌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</si>
  <si>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투자회사</t>
    </r>
    <r>
      <rPr>
        <sz val="10"/>
        <rFont val="Arial"/>
        <family val="0"/>
        <charset val="1"/>
      </rPr>
      <t xml:space="preserve">(belegger) </t>
    </r>
    <r>
      <rPr>
        <sz val="10"/>
        <rFont val="WenQuanYi Zen Hei"/>
        <family val="2"/>
      </rPr>
      <t xml:space="preserve">담당자</t>
    </r>
  </si>
  <si>
    <t xml:space="preserve">매각 협상 (u 격식체)</t>
  </si>
  <si>
    <r>
      <rPr>
        <sz val="10"/>
        <rFont val="Arial"/>
        <family val="0"/>
        <charset val="1"/>
      </rPr>
      <t xml:space="preserve">Mevr. Bakker (</t>
    </r>
    <r>
      <rPr>
        <sz val="10"/>
        <rFont val="WenQuanYi Zen Hei"/>
        <family val="2"/>
      </rPr>
      <t xml:space="preserve">바커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</si>
  <si>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은행 담당자</t>
    </r>
  </si>
  <si>
    <t xml:space="preserve">대출 상담 (u 격식체)</t>
  </si>
  <si>
    <r>
      <rPr>
        <sz val="10"/>
        <rFont val="Arial"/>
        <family val="0"/>
        <charset val="1"/>
      </rPr>
      <t xml:space="preserve">Mr. Hendriks (</t>
    </r>
    <r>
      <rPr>
        <sz val="10"/>
        <rFont val="WenQuanYi Zen Hei"/>
        <family val="2"/>
      </rPr>
      <t xml:space="preserve">헨드릭스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</si>
  <si>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세입자 변호사</t>
    </r>
  </si>
  <si>
    <t xml:space="preserve">법률 상담 (u 격식체)</t>
  </si>
  <si>
    <t xml:space="preserve">계절</t>
  </si>
  <si>
    <t xml:space="preserve">상황</t>
  </si>
  <si>
    <t xml:space="preserve">주 난이도</t>
  </si>
  <si>
    <t xml:space="preserve">A2</t>
  </si>
  <si>
    <t xml:space="preserve">B1</t>
  </si>
  <si>
    <t xml:space="preserve">B2</t>
  </si>
  <si>
    <t xml:space="preserve">C1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</si>
  <si>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Lente</t>
    </r>
  </si>
  <si>
    <t xml:space="preserve">봄</t>
  </si>
  <si>
    <t xml:space="preserve">소개와 일상</t>
  </si>
  <si>
    <t xml:space="preserve">A2~B1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</si>
  <si>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Zomer</t>
    </r>
  </si>
  <si>
    <t xml:space="preserve">여름</t>
  </si>
  <si>
    <t xml:space="preserve">문제의 확산</t>
  </si>
  <si>
    <t xml:space="preserve">B1~B2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</si>
  <si>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Herfst</t>
    </r>
  </si>
  <si>
    <t xml:space="preserve">가을</t>
  </si>
  <si>
    <t xml:space="preserve">위기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</si>
  <si>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Winter</t>
    </r>
  </si>
  <si>
    <t xml:space="preserve">겨울</t>
  </si>
  <si>
    <t xml:space="preserve">연대와 협상</t>
  </si>
  <si>
    <t xml:space="preserve">B2~C1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</si>
  <si>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Nieuwe lente</t>
    </r>
  </si>
  <si>
    <t xml:space="preserve">이듬해 봄</t>
  </si>
  <si>
    <t xml:space="preserve">새 출발</t>
  </si>
  <si>
    <t xml:space="preserve">화</t>
  </si>
  <si>
    <t xml:space="preserve">제목</t>
  </si>
  <si>
    <t xml:space="preserve">사건</t>
  </si>
  <si>
    <t xml:space="preserve">학습 포인트</t>
  </si>
  <si>
    <t xml:space="preserve">턴 수</t>
  </si>
  <si>
    <t xml:space="preserve">작성 상태</t>
  </si>
  <si>
    <t xml:space="preserve">Een gewone dinsdag in 't Hoekje</t>
  </si>
  <si>
    <t xml:space="preserve">아침에 브람이 카페 문을 열고 칠판을 내걸며 단골들이 하나둘 들어옴</t>
  </si>
  <si>
    <t xml:space="preserve">인사, 시간, 주문, 현재형, V2 어순</t>
  </si>
  <si>
    <t xml:space="preserve">미작성</t>
  </si>
  <si>
    <t xml:space="preserve">De fiets is weg</t>
  </si>
  <si>
    <t xml:space="preserve">에므레의 새 자전거가 도난당해 신고하러 감</t>
  </si>
  <si>
    <t xml:space="preserve">과거 사건 서술, 완료시제(hebben/zijn), 신고 표현</t>
  </si>
  <si>
    <t xml:space="preserve">Lawaai na tienen</t>
  </si>
  <si>
    <t xml:space="preserve">예서 친구들의 소음으로 스미트 부인이 항의</t>
  </si>
  <si>
    <t xml:space="preserve">정중한 항의, kunnen/moeten/mogen, 사과</t>
  </si>
  <si>
    <t xml:space="preserve">Koffie of thee?</t>
  </si>
  <si>
    <t xml:space="preserve">카페 단골들의 날씨 수다와 주문</t>
  </si>
  <si>
    <t xml:space="preserve">날씨 잡담, 비교급, 담화표지</t>
  </si>
  <si>
    <t xml:space="preserve">Het schoolplein</t>
  </si>
  <si>
    <t xml:space="preserve">야스민이 학부모들과 숙제와 학교 행사를 이야기</t>
  </si>
  <si>
    <t xml:space="preserve">일정 말하기, 의무·허락, er 용법 입문</t>
  </si>
  <si>
    <t xml:space="preserve">Verjaardag van Opa Kees</t>
  </si>
  <si>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세 생일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원형으로 둘러앉아 인사하는 버르다흐</t>
    </r>
  </si>
  <si>
    <t xml:space="preserve">축하 표현, 서수·날짜, 가족 호칭</t>
  </si>
  <si>
    <t xml:space="preserve">Ajax op de buis</t>
  </si>
  <si>
    <t xml:space="preserve">카페에서 경기 중계를 보며 해설과 야유</t>
  </si>
  <si>
    <t xml:space="preserve">감탄·의견 표현, 스포츠 어휘, 축소어</t>
  </si>
  <si>
    <t xml:space="preserve">De huurverhoging</t>
  </si>
  <si>
    <t xml:space="preserve">월세 인상 통지를 받은 이웃들의 반응</t>
  </si>
  <si>
    <t xml:space="preserve">숫자·퍼센트, 걱정 표현, 부정문</t>
  </si>
  <si>
    <t xml:space="preserve">De kat van mevrouw Smit</t>
  </si>
  <si>
    <t xml:space="preserve">스미트 부인의 고양이 Poes가 사라져 이웃이 함께 찾아다님</t>
  </si>
  <si>
    <t xml:space="preserve">반려동물 어휘, 외모 묘사, 장소 전치사</t>
  </si>
  <si>
    <t xml:space="preserve">Bitterballen en borrelhapjes</t>
  </si>
  <si>
    <t xml:space="preserve">카페의 새 안주 메뉴를 시식하고 단골이 평가</t>
  </si>
  <si>
    <t xml:space="preserve">음식 어휘, 맛 표현, 취향 비교</t>
  </si>
  <si>
    <t xml:space="preserve">Opa Kees leert appen</t>
  </si>
  <si>
    <t xml:space="preserve">에므레가 오파 케이스에게 스마트폰을 가르치다 사기 문자를 가려냄</t>
  </si>
  <si>
    <t xml:space="preserve">기술 어휘, 설명·지시 화법, 명령형</t>
  </si>
  <si>
    <t xml:space="preserve">Koningsnacht</t>
  </si>
  <si>
    <t xml:space="preserve">킹스데이 전날 밤의 준비와 설렘</t>
  </si>
  <si>
    <t xml:space="preserve">계획 말하기(gaan + 부정사), 시간 표현</t>
  </si>
  <si>
    <t xml:space="preserve">Vrijmarkt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</si>
  <si>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일 거리 플리마켓에서 물건 흥정</t>
    </r>
  </si>
  <si>
    <t xml:space="preserve">흥정 표현, 가격, 지시대명사</t>
  </si>
  <si>
    <t xml:space="preserve">Dodenherdenking om acht uur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</si>
  <si>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일 저녁 묵념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오파 케이스가 부모에게서 들은 전쟁 이야기를 회상</t>
    </r>
  </si>
  <si>
    <t xml:space="preserve">과거 서술(imperfectum), 조용한 어조</t>
  </si>
  <si>
    <t xml:space="preserve">Bevrijdingsdag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</si>
  <si>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가족 점심과 음악</t>
    </r>
  </si>
  <si>
    <t xml:space="preserve">가족 모임 화법, 선호 표현</t>
  </si>
  <si>
    <t xml:space="preserve">De remmen doen het niet</t>
  </si>
  <si>
    <t xml:space="preserve">단과 함께 자전거 수리 중 일어난 접촉 사고</t>
  </si>
  <si>
    <t xml:space="preserve">부상·고장 어휘, 원인 설명(omdat/want)</t>
  </si>
  <si>
    <t xml:space="preserve">Een zaak runnen</t>
  </si>
  <si>
    <t xml:space="preserve">브람이 카페 개업 20주년을 계획하며 장부를 정리</t>
  </si>
  <si>
    <t xml:space="preserve">비용·수입 어휘, 미래 계획, 조건(als)</t>
  </si>
  <si>
    <t xml:space="preserve">Een briefje in de brievenbus</t>
  </si>
  <si>
    <t xml:space="preserve">건물이 매각될 수 있다는 익명 쪽지가 도착 (클리프행어)</t>
  </si>
  <si>
    <t xml:space="preserve">걱정·추측 표현, 간접 질문 입문</t>
  </si>
  <si>
    <t xml:space="preserve">Het gerucht</t>
  </si>
  <si>
    <t xml:space="preserve">소문이 번지고 입주민 회의가 소집됨</t>
  </si>
  <si>
    <t xml:space="preserve">추측·소문 전달, 간접화법</t>
  </si>
  <si>
    <t xml:space="preserve">Jesse zoekt een kamer</t>
  </si>
  <si>
    <t xml:space="preserve">예서가 Funda로 방을 찾고 룸메이트 면접을 봄</t>
  </si>
  <si>
    <t xml:space="preserve">임대 어휘, 질문 화법, 비교</t>
  </si>
  <si>
    <t xml:space="preserve">De bezichtiging</t>
  </si>
  <si>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명이 줄 선 집 구경 경쟁</t>
    </r>
  </si>
  <si>
    <t xml:space="preserve">감정 표현, 설득, 시간 압박 어휘</t>
  </si>
  <si>
    <t xml:space="preserve">Overleg op kantoor</t>
  </si>
  <si>
    <t xml:space="preserve">마리커의 팀 회의, 끝없는 합의 토론(polderen)</t>
  </si>
  <si>
    <t xml:space="preserve">의견 제시·반박, 동의 구하기</t>
  </si>
  <si>
    <t xml:space="preserve">Feedback is een cadeau</t>
  </si>
  <si>
    <t xml:space="preserve">직설적인 피드백과 상사와의 충돌</t>
  </si>
  <si>
    <t xml:space="preserve">직설 화법, 완곡 표현 비교</t>
  </si>
  <si>
    <t xml:space="preserve">Een dagje strand</t>
  </si>
  <si>
    <t xml:space="preserve">잔트보르트 당일치기, 바람과 파도</t>
  </si>
  <si>
    <t xml:space="preserve">날씨·해변 어휘, 완료시제 서사</t>
  </si>
  <si>
    <t xml:space="preserve">Vakantieplannen</t>
  </si>
  <si>
    <t xml:space="preserve">캠핑이냐 비행기냐 휴가 논쟁</t>
  </si>
  <si>
    <t xml:space="preserve">가정법(zou), 선택·타협</t>
  </si>
  <si>
    <t xml:space="preserve">Burn-out</t>
  </si>
  <si>
    <t xml:space="preserve">마리커가 과로로 쓰러질 위기</t>
  </si>
  <si>
    <t xml:space="preserve">감정 서술, 조언 표현, 관계절</t>
  </si>
  <si>
    <t xml:space="preserve">Toeristen in de gracht</t>
  </si>
  <si>
    <t xml:space="preserve">관광객 소음과 에어비앤비 때문에 이웃들이 갈리고, 카페 매상은 오름</t>
  </si>
  <si>
    <t xml:space="preserve">찬반과 양가감정 표현, 일반화</t>
  </si>
  <si>
    <t xml:space="preserve">Canal Pride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</si>
  <si>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운하 퍼레이드에 카페가 북적임</t>
    </r>
  </si>
  <si>
    <t xml:space="preserve">행사 어휘, 수동태 입문, 감탄</t>
  </si>
  <si>
    <t xml:space="preserve">Tramstaking</t>
  </si>
  <si>
    <t xml:space="preserve">트램 파업으로 출근길 대란, 자전거로 우회</t>
  </si>
  <si>
    <t xml:space="preserve">교통 어휘, 지연·대안, 비상 대응</t>
  </si>
  <si>
    <t xml:space="preserve">De huurcommissie</t>
  </si>
  <si>
    <t xml:space="preserve">예서가 과도한 월세에 항의</t>
  </si>
  <si>
    <t xml:space="preserve">법적 표현 입문, 주장과 근거</t>
  </si>
  <si>
    <t xml:space="preserve">Hittegolf</t>
  </si>
  <si>
    <t xml:space="preserve">폭염 속의 건물 생활과 카페</t>
  </si>
  <si>
    <t xml:space="preserve">더위 어휘, 불평 표현, 과장</t>
  </si>
  <si>
    <t xml:space="preserve">Een date via de app</t>
  </si>
  <si>
    <t xml:space="preserve">예서의 데이트 앱 실패담, 카린의 조언, 테스와의 첫 만남</t>
  </si>
  <si>
    <t xml:space="preserve">연애 어휘, 호감 표현, 가벼운 놀림</t>
  </si>
  <si>
    <t xml:space="preserve">De huisgenoot</t>
  </si>
  <si>
    <t xml:space="preserve">예서와 룸메이트의 첫 갈등</t>
  </si>
  <si>
    <t xml:space="preserve">생활 규칙, 비난·변명</t>
  </si>
  <si>
    <t xml:space="preserve">Uitmarkt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</si>
  <si>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말 문화 시즌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거리 공연과 공연 관람</t>
    </r>
  </si>
  <si>
    <t xml:space="preserve">문화 행사 어휘, 감상 표현</t>
  </si>
  <si>
    <t xml:space="preserve">Zomeravond op het dak</t>
  </si>
  <si>
    <t xml:space="preserve">옥상에서 이웃들이 화해하며 맥주를 나눔</t>
  </si>
  <si>
    <t xml:space="preserve">회상, 화해 표현</t>
  </si>
  <si>
    <t xml:space="preserve">De verkoop is rond</t>
  </si>
  <si>
    <t xml:space="preserve">매각이 확정됐다는 공식 통지 (클리프행어)</t>
  </si>
  <si>
    <t xml:space="preserve">공문 읽기(구어로 풀이), 충격 표현</t>
  </si>
  <si>
    <t xml:space="preserve">De belegger</t>
  </si>
  <si>
    <t xml:space="preserve">투자회사 담당자 판 로이옌의 방문</t>
  </si>
  <si>
    <r>
      <rPr>
        <sz val="10"/>
        <rFont val="Arial"/>
        <family val="0"/>
        <charset val="1"/>
      </rPr>
      <t xml:space="preserve">u </t>
    </r>
    <r>
      <rPr>
        <sz val="10"/>
        <rFont val="WenQuanYi Zen Hei"/>
        <family val="2"/>
      </rPr>
      <t xml:space="preserve">격식체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정중한 질문</t>
    </r>
  </si>
  <si>
    <t xml:space="preserve">Huurdersvergadering</t>
  </si>
  <si>
    <t xml:space="preserve">입주민 모임, 의견 충돌과 합의 시도</t>
  </si>
  <si>
    <t xml:space="preserve">토론 표현, 합의 화법</t>
  </si>
  <si>
    <t xml:space="preserve">De bank zegt nee</t>
  </si>
  <si>
    <t xml:space="preserve">브람의 대출 거절</t>
  </si>
  <si>
    <t xml:space="preserve">금융 어휘, 격식 화법, 실망</t>
  </si>
  <si>
    <t xml:space="preserve">Daans werkplaats</t>
  </si>
  <si>
    <t xml:space="preserve">자전거 수리점 임대 연장 협상과 불안</t>
  </si>
  <si>
    <t xml:space="preserve">협상·조건, 미래 불확실성</t>
  </si>
  <si>
    <t xml:space="preserve">Het oudergesprek</t>
  </si>
  <si>
    <t xml:space="preserve">야스민이 선생님과 에므레의 진로 상담</t>
  </si>
  <si>
    <t xml:space="preserve">학교 어휘, 칭찬과 우려</t>
  </si>
  <si>
    <t xml:space="preserve">Ajax-Feyenoord</t>
  </si>
  <si>
    <t xml:space="preserve">라이벌전 날 카페 만석, 소란</t>
  </si>
  <si>
    <t xml:space="preserve">경기 중계식 빠른 구어, 속어</t>
  </si>
  <si>
    <t xml:space="preserve">Eigen risico</t>
  </si>
  <si>
    <t xml:space="preserve">오파 케이스의 검진과 보험 갱신, 가정의와의 대화</t>
  </si>
  <si>
    <t xml:space="preserve">의료·보험 어휘, 증상 설명, 비용 이야기(u)</t>
  </si>
  <si>
    <t xml:space="preserve">Mevrouw Smit en de containers</t>
  </si>
  <si>
    <t xml:space="preserve">쓰레기 분리 분쟁</t>
  </si>
  <si>
    <t xml:space="preserve">규칙 설명, 비난·반박</t>
  </si>
  <si>
    <t xml:space="preserve">Een advocaat voor de huurders</t>
  </si>
  <si>
    <t xml:space="preserve">변호사 헨드릭스와 세입자 권리 상담</t>
  </si>
  <si>
    <t xml:space="preserve">법률 상담 어휘(쉽게 풀어서), 조건문</t>
  </si>
  <si>
    <t xml:space="preserve">Een contract van drie maanden</t>
  </si>
  <si>
    <t xml:space="preserve">예서의 계약 만료와 실업수당 문의, 단의 프리랜서 고충</t>
  </si>
  <si>
    <t xml:space="preserve">고용 형태 어휘, 서류 질문, 불안</t>
  </si>
  <si>
    <t xml:space="preserve">Ruzie aan de keukentafel</t>
  </si>
  <si>
    <t xml:space="preserve">브람과 마리커의 큰 다툼</t>
  </si>
  <si>
    <t xml:space="preserve">속어, 말 끊기, 감정 폭발</t>
  </si>
  <si>
    <t xml:space="preserve">Regen, regen, regen</t>
  </si>
  <si>
    <t xml:space="preserve">폭우로 지붕이 새고 집주인은 무책임</t>
  </si>
  <si>
    <t xml:space="preserve">수리·책임 어휘, 분노</t>
  </si>
  <si>
    <t xml:space="preserve">Sint-Maarten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</si>
  <si>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일 아이들의 랜턴 노래</t>
    </r>
  </si>
  <si>
    <t xml:space="preserve">노래 가사 낭독, 문화 어휘</t>
  </si>
  <si>
    <t xml:space="preserve">Marieke zegt haar baan op</t>
  </si>
  <si>
    <t xml:space="preserve">마리커의 이직 결정과 상사 면담</t>
  </si>
  <si>
    <t xml:space="preserve">사직 화법, 격려, 후회 표현</t>
  </si>
  <si>
    <t xml:space="preserve">Een afscheid</t>
  </si>
  <si>
    <t xml:space="preserve">오파 케이스 오랜 친구의 장례식</t>
  </si>
  <si>
    <t xml:space="preserve">애도 표현, 추도 인사, 조용한 어조</t>
  </si>
  <si>
    <t xml:space="preserve">Op het makelaarskantoor</t>
  </si>
  <si>
    <t xml:space="preserve">부동산 중개소와 대안 매물 협상</t>
  </si>
  <si>
    <t xml:space="preserve">중개 어휘, 협상 화법(u)</t>
  </si>
  <si>
    <t xml:space="preserve">Opa Kees en de watersnood</t>
  </si>
  <si>
    <t xml:space="preserve">오파 케이스가 열 살 때 젤란트에서 겪은 1953년 홍수를 회상</t>
  </si>
  <si>
    <t xml:space="preserve">과거 서술 심화, 기억의 어조</t>
  </si>
  <si>
    <t xml:space="preserve">Het besluit</t>
  </si>
  <si>
    <t xml:space="preserve">브람이 포기할지 맞설지 결정 (3부 마무리)</t>
  </si>
  <si>
    <t xml:space="preserve">결정·의지 표현, 가정문 종합</t>
  </si>
  <si>
    <t xml:space="preserve">Sinterklaasavond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</si>
  <si>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선물과 풍자 시를 낭독하는 저녁</t>
    </r>
  </si>
  <si>
    <t xml:space="preserve">운문 낭독, 유머, 선물 어휘</t>
  </si>
  <si>
    <t xml:space="preserve">Een idee van Yasmin</t>
  </si>
  <si>
    <t xml:space="preserve">협동조합으로 건물을 사자는 야스민의 제안</t>
  </si>
  <si>
    <t xml:space="preserve">제안·설득, 장단점 논의</t>
  </si>
  <si>
    <t xml:space="preserve">De coöperatie</t>
  </si>
  <si>
    <t xml:space="preserve">조합 설립 절차와 역할 분담</t>
  </si>
  <si>
    <t xml:space="preserve">조직 어휘, 규칙 정하기</t>
  </si>
  <si>
    <t xml:space="preserve">Voedselbank en winterhulp</t>
  </si>
  <si>
    <t xml:space="preserve">입주민들이 푸드뱅크 겨울 봉사에 나섬</t>
  </si>
  <si>
    <t xml:space="preserve">봉사·나눔 어휘, 역할 정하기</t>
  </si>
  <si>
    <t xml:space="preserve">Rekenen aan het huis</t>
  </si>
  <si>
    <t xml:space="preserve">매입 자금과 월 부담 계산</t>
  </si>
  <si>
    <t xml:space="preserve">숫자·비용 어휘, 근사 표현</t>
  </si>
  <si>
    <t xml:space="preserve">Kerstdiner met de familie</t>
  </si>
  <si>
    <t xml:space="preserve">크리스마스 가족 만찬</t>
  </si>
  <si>
    <t xml:space="preserve">가족 화법, 화해</t>
  </si>
  <si>
    <t xml:space="preserve">Yasmins ouders op bezoek</t>
  </si>
  <si>
    <t xml:space="preserve">터키어와 네덜란드어를 오가는 가족 식사, 세대 간 시선</t>
  </si>
  <si>
    <t xml:space="preserve">가족사·언어 전환, 존중 표현</t>
  </si>
  <si>
    <t xml:space="preserve">Oud en Nieuw</t>
  </si>
  <si>
    <t xml:space="preserve">올리볼런과 불꽃놀이, 새해 결심</t>
  </si>
  <si>
    <t xml:space="preserve">덕담, 결심 표현</t>
  </si>
  <si>
    <t xml:space="preserve">Het ijs houdt het!</t>
  </si>
  <si>
    <t xml:space="preserve">결빙 여부를 두고 벌이는 논쟁</t>
  </si>
  <si>
    <t xml:space="preserve">추측·확률 표현, 날씨 서술</t>
  </si>
  <si>
    <t xml:space="preserve">Op het ijs</t>
  </si>
  <si>
    <t xml:space="preserve">오파 케이스와 얼음 위 스케이팅</t>
  </si>
  <si>
    <t xml:space="preserve">서정적 서술, 신체 어휘</t>
  </si>
  <si>
    <t xml:space="preserve">Het schooladvies</t>
  </si>
  <si>
    <t xml:space="preserve">에므레의 잠정 중등학교 추천(voorlopig schooladvies, 1월 말) 결과</t>
  </si>
  <si>
    <t xml:space="preserve">학교 제도 어휘, 기쁨·걱정</t>
  </si>
  <si>
    <t xml:space="preserve">Verkiezingen in de wijk</t>
  </si>
  <si>
    <t xml:space="preserve">동네 의회 후보 토론과 투표</t>
  </si>
  <si>
    <t xml:space="preserve">정치 어휘, 공약과 토론 화법</t>
  </si>
  <si>
    <t xml:space="preserve">De presentatie voor de gemeente</t>
  </si>
  <si>
    <t xml:space="preserve">시청에 지원 신청 발표</t>
  </si>
  <si>
    <t xml:space="preserve">발표 화법, 근거 제시(u)</t>
  </si>
  <si>
    <t xml:space="preserve">Een tegenbod van de belegger</t>
  </si>
  <si>
    <t xml:space="preserve">투자회사의 역제안</t>
  </si>
  <si>
    <t xml:space="preserve">협상 화법, 조건 계산</t>
  </si>
  <si>
    <t xml:space="preserve">Onderhandelen</t>
  </si>
  <si>
    <t xml:space="preserve">대표와 마주 앉은 협상</t>
  </si>
  <si>
    <t xml:space="preserve">양보·반박, 정중한 압박</t>
  </si>
  <si>
    <t xml:space="preserve">Crowdfunding in 't Hoekje</t>
  </si>
  <si>
    <t xml:space="preserve">카페에서 모금 행사, 경기와 겹침</t>
  </si>
  <si>
    <t xml:space="preserve">호소 화법, 행사 사회자 어투</t>
  </si>
  <si>
    <t xml:space="preserve">De laatste avond voor het bod</t>
  </si>
  <si>
    <t xml:space="preserve">입주민 투표와 마지막 회의</t>
  </si>
  <si>
    <t xml:space="preserve">합의 표현, 긴장</t>
  </si>
  <si>
    <t xml:space="preserve">Het bod</t>
  </si>
  <si>
    <t xml:space="preserve">입찰서 제출과 기다림 (클리프행어)</t>
  </si>
  <si>
    <t xml:space="preserve">기대·불안 표현, 시간 표현</t>
  </si>
  <si>
    <t xml:space="preserve">Het antwoord</t>
  </si>
  <si>
    <t xml:space="preserve">입찰 결과 통보</t>
  </si>
  <si>
    <t xml:space="preserve">감정 폭발, 안도, 감탄</t>
  </si>
  <si>
    <t xml:space="preserve">Bij de notaris</t>
  </si>
  <si>
    <t xml:space="preserve">공증 계약</t>
  </si>
  <si>
    <t xml:space="preserve">계약 어휘, 확인 질문(u)</t>
  </si>
  <si>
    <t xml:space="preserve">Wie is de baas?</t>
  </si>
  <si>
    <t xml:space="preserve">조합 운영 규칙을 둘러싼 새 갈등</t>
  </si>
  <si>
    <t xml:space="preserve">합의와 의견 대립, 양보</t>
  </si>
  <si>
    <t xml:space="preserve">Zonnepanelen op het dak</t>
  </si>
  <si>
    <t xml:space="preserve">태양광 패널과 단열 개선을 두고 비용 대 효과 논쟁</t>
  </si>
  <si>
    <t xml:space="preserve">환경·에너지 어휘, 가정문</t>
  </si>
  <si>
    <t xml:space="preserve">De renovatie</t>
  </si>
  <si>
    <t xml:space="preserve">공사 소음으로 이웃 불만</t>
  </si>
  <si>
    <t xml:space="preserve">불평·완곡 표현, 건축 어휘</t>
  </si>
  <si>
    <t xml:space="preserve">Verhuisdag</t>
  </si>
  <si>
    <t xml:space="preserve">예서가 건물 안으로 입주하는 날, 짐 나르기</t>
  </si>
  <si>
    <t xml:space="preserve">이사 어휘, 지시와 도움 요청</t>
  </si>
  <si>
    <t xml:space="preserve">Daan breidt uit</t>
  </si>
  <si>
    <t xml:space="preserve">자전거 수리점 확장과 직원 채용</t>
  </si>
  <si>
    <t xml:space="preserve">사업 계획, 채용 화법</t>
  </si>
  <si>
    <t xml:space="preserve">De doorstroomtoets</t>
  </si>
  <si>
    <t xml:space="preserve">에므레의 doorstroomtoets(구 eindtoets) 응시와 결과, 학교 추천 상향 여부</t>
  </si>
  <si>
    <t xml:space="preserve">시험 어휘, 응원 표현, 결과 해석</t>
  </si>
  <si>
    <t xml:space="preserve">Mevrouw Smit schrijft een brief</t>
  </si>
  <si>
    <t xml:space="preserve">스미트 부인의 화해 편지를 구어로 읽어 줌</t>
  </si>
  <si>
    <t xml:space="preserve">편지 낭독, 사과·감사</t>
  </si>
  <si>
    <t xml:space="preserve">Een bruiloft in de gracht</t>
  </si>
  <si>
    <t xml:space="preserve">이웃 부부 펨커와 요스트의 결혼식</t>
  </si>
  <si>
    <t xml:space="preserve">결혼 어휘, 축사, 감동 표현</t>
  </si>
  <si>
    <t xml:space="preserve">De overdracht</t>
  </si>
  <si>
    <t xml:space="preserve">브람이 카페를 마리커에게 물려줌</t>
  </si>
  <si>
    <t xml:space="preserve">승계 어휘, 감정 서술</t>
  </si>
  <si>
    <t xml:space="preserve">두 번째 킹스데이 전야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</si>
  <si>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설렘</t>
    </r>
  </si>
  <si>
    <t xml:space="preserve">두 번째 플리마켓과 새 풍경</t>
  </si>
  <si>
    <t xml:space="preserve">흥정 복습, 가격 표현</t>
  </si>
  <si>
    <t xml:space="preserve">Buurtbarbecue</t>
  </si>
  <si>
    <t xml:space="preserve">건물 앞 골목에서 이웃 바비큐</t>
  </si>
  <si>
    <t xml:space="preserve">음식·야외 어휘, 잡담</t>
  </si>
  <si>
    <t xml:space="preserve">Een feest voor het hele huis</t>
  </si>
  <si>
    <t xml:space="preserve">건물 전체 집들이 파티</t>
  </si>
  <si>
    <t xml:space="preserve">연설 인사말(구어), 건배</t>
  </si>
  <si>
    <t xml:space="preserve">Opa Kees wordt vierentachtig</t>
  </si>
  <si>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세 생일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 해를 돌아봄</t>
    </r>
  </si>
  <si>
    <t xml:space="preserve">생일 복습, 회고, 노년의 어조</t>
  </si>
  <si>
    <t xml:space="preserve">Een nieuw bord boven de deur</t>
  </si>
  <si>
    <t xml:space="preserve">새 간판 걸기, 이름의 의미</t>
  </si>
  <si>
    <t xml:space="preserve">상징 서술, 감정</t>
  </si>
  <si>
    <t xml:space="preserve">다시 시작되는 화요일 아침. 마리커가 칠판을 내걸고 첫 손님이 들어옴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</si>
  <si>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수미상관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총정리</t>
    </r>
  </si>
  <si>
    <t xml:space="preserve">원칙</t>
  </si>
  <si>
    <t xml:space="preserve">기본 문체</t>
  </si>
  <si>
    <t xml:space="preserve">일상 구어. 암스테르담 억양과 어휘를 반영하되 표기는 표준 철자를 따름</t>
  </si>
  <si>
    <t xml:space="preserve">구어 특징</t>
  </si>
  <si>
    <t xml:space="preserve">축약(ik heb 'm, 't is, d'r, zo'n, m'n), 생략문, 문장 끝 확인(hè, toch, of niet, zeg)</t>
  </si>
  <si>
    <t xml:space="preserve">담화표지</t>
  </si>
  <si>
    <r>
      <rPr>
        <sz val="10"/>
        <rFont val="Arial"/>
        <family val="0"/>
        <charset val="1"/>
      </rPr>
      <t xml:space="preserve">nou, ja, hoor, even, gewoon, eigenlijk, joh, man, tja, hè, zeg </t>
    </r>
    <r>
      <rPr>
        <sz val="10"/>
        <rFont val="WenQuanYi Zen Hei"/>
        <family val="2"/>
      </rPr>
      <t xml:space="preserve">등을 자연스럽게 배치</t>
    </r>
  </si>
  <si>
    <t xml:space="preserve">호칭</t>
  </si>
  <si>
    <t xml:space="preserve">친구·가족·동료는 je/jij, 노인과 격식 장면(은행, 변호사, 투자회사, 공무원, 의사)은 u. 호칭 전환 장면을 의도적으로 넣음</t>
  </si>
  <si>
    <t xml:space="preserve">어휘 층위</t>
  </si>
  <si>
    <t xml:space="preserve">카페와 가족 사이는 생생한 속어 (balen, kut-weer, lekker, tof, knap, joh, aanstellerij)</t>
  </si>
  <si>
    <t xml:space="preserve">거친 표현</t>
  </si>
  <si>
    <t xml:space="preserve">압박과 다툼 장면에서 shit, verdomme, godverdomme, klote, kut, tering 정도까지 허용. 질병을 이용한 저주와 모욕·차별·성적 표현은 제외. 격식 장면과 아이 앞에서는 쓰지 않음</t>
  </si>
  <si>
    <t xml:space="preserve">감정 폭발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</si>
  <si>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위기와 가족 다툼에서 말 끊기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소리침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중얼거림 등 날것의 구어 리듬을 살림</t>
    </r>
  </si>
  <si>
    <t xml:space="preserve">학습 안전장치</t>
  </si>
  <si>
    <t xml:space="preserve">거친 표현은 [속어] 태그로 구분하고, 분석에서 쓸 수 있는 상황과 쓰면 안 되는 상황을 한 줄로 명시</t>
  </si>
  <si>
    <t xml:space="preserve">문장 길이</t>
  </si>
  <si>
    <t xml:space="preserve">한 호흡 15단어 이내를 기본으로 하고, 긴 설명도 두세 덩어리로 나눈다</t>
  </si>
  <si>
    <t xml:space="preserve">지명·고유명</t>
  </si>
  <si>
    <t xml:space="preserve">현실 지명과 행사(킹스데이, 신터클라스 등)는 실제 문화를 반영하되 인물·업체·사건은 모두 허구</t>
  </si>
  <si>
    <t xml:space="preserve">민감 소재</t>
  </si>
  <si>
    <t xml:space="preserve">건강, 장례, 이주·정체성, 정치는 특정 정당·집단 비하 없이 인물의 일상 시선으로 다룸. 정치 장면은 실제 정당명 대신 허구의 동네 후보 이름 사용</t>
  </si>
  <si>
    <t xml:space="preserve">핵심 어휘 영역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</si>
  <si>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</si>
  <si>
    <t xml:space="preserve">카페·주문, 날씨 잡담, 자전거, 이웃, 반려동물, 음식·안주, 스마트폰, 생일, 학교, 킹스데이·기념일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</si>
  <si>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</si>
  <si>
    <t xml:space="preserve">주택 임대(Funda, 월세, 룸메이트), 직장 회의·피드백, 해변·휴가, 번아웃, 관광, 교통·파업, 연애, 폭염, 문화 행사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</si>
  <si>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</si>
  <si>
    <t xml:space="preserve">대출·은행, 법률·세입자 권리, 의료·보험, 고용 형태·실업수당, 회의 토론, 폭우·누수, 가족 갈등, 이직, 장례·애도, 재난 회상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</si>
  <si>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</si>
  <si>
    <t xml:space="preserve">협동조합·자금 계산, 자원봉사, 가족사·언어, 연말, 얼음과 스케이팅, 학교 추천, 동네 선거, 발표와 협상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</si>
  <si>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</si>
  <si>
    <t xml:space="preserve">공증·계약, 에너지·태양광, 공사, 이사, 시험 결과, 결혼식, 승계, 이웃 축제, 정착</t>
  </si>
  <si>
    <t xml:space="preserve">소재</t>
  </si>
  <si>
    <t xml:space="preserve">주요 화</t>
  </si>
  <si>
    <t xml:space="preserve">담당 인물</t>
  </si>
  <si>
    <t xml:space="preserve">주택난·월세</t>
  </si>
  <si>
    <t xml:space="preserve">8, 20, 21, 30, 33, 52, 78</t>
  </si>
  <si>
    <t xml:space="preserve">예서, 마리커</t>
  </si>
  <si>
    <t xml:space="preserve">자전거</t>
  </si>
  <si>
    <t xml:space="preserve">2, 16, 40, 79</t>
  </si>
  <si>
    <t xml:space="preserve">단, 에므레</t>
  </si>
  <si>
    <t xml:space="preserve">생일(버르다흐)</t>
  </si>
  <si>
    <t xml:space="preserve">6, 88</t>
  </si>
  <si>
    <t xml:space="preserve">오파 케이스, 브람, 마리커</t>
  </si>
  <si>
    <t xml:space="preserve">직장 합의 문화</t>
  </si>
  <si>
    <t xml:space="preserve">22, 23, 26, 50</t>
  </si>
  <si>
    <t xml:space="preserve">마리커</t>
  </si>
  <si>
    <t xml:space="preserve">이웃 갈등</t>
  </si>
  <si>
    <t xml:space="preserve">3, 9, 35, 44, 77, 81</t>
  </si>
  <si>
    <t xml:space="preserve">스미트 부인, 예서</t>
  </si>
  <si>
    <t xml:space="preserve">창업·경영</t>
  </si>
  <si>
    <t xml:space="preserve">17, 39, 40, 68, 79, 83</t>
  </si>
  <si>
    <t xml:space="preserve">브람, 단</t>
  </si>
  <si>
    <t xml:space="preserve">가족·명절</t>
  </si>
  <si>
    <t xml:space="preserve">12~15, 55, 60, 62, 84, 85</t>
  </si>
  <si>
    <t xml:space="preserve">전 인물</t>
  </si>
  <si>
    <t xml:space="preserve">날씨·레저</t>
  </si>
  <si>
    <t xml:space="preserve">24, 25, 31, 63, 64</t>
  </si>
  <si>
    <t xml:space="preserve">오파 케이스, 브람</t>
  </si>
  <si>
    <t xml:space="preserve">스포츠</t>
  </si>
  <si>
    <t xml:space="preserve">7, 42, 70</t>
  </si>
  <si>
    <t xml:space="preserve">브람, 단골들</t>
  </si>
  <si>
    <t xml:space="preserve">학교·교육</t>
  </si>
  <si>
    <t xml:space="preserve">5, 41, 65, 80</t>
  </si>
  <si>
    <t xml:space="preserve">야스민, 에므레</t>
  </si>
  <si>
    <t xml:space="preserve">건강·의료보험</t>
  </si>
  <si>
    <t xml:space="preserve">43</t>
  </si>
  <si>
    <t xml:space="preserve">오파 케이스, 얀선 의사</t>
  </si>
  <si>
    <t xml:space="preserve">음식</t>
  </si>
  <si>
    <t xml:space="preserve">10, 86</t>
  </si>
  <si>
    <t xml:space="preserve">브람, 카린</t>
  </si>
  <si>
    <t xml:space="preserve">교통</t>
  </si>
  <si>
    <t xml:space="preserve">29</t>
  </si>
  <si>
    <t xml:space="preserve">마리커, 단</t>
  </si>
  <si>
    <t xml:space="preserve">32</t>
  </si>
  <si>
    <t xml:space="preserve">예서, 테스, 카린</t>
  </si>
  <si>
    <t xml:space="preserve">정치(동네)</t>
  </si>
  <si>
    <t xml:space="preserve">66, 67</t>
  </si>
  <si>
    <t xml:space="preserve">야스민, 브람</t>
  </si>
  <si>
    <t xml:space="preserve">관광(과잉 관광)</t>
  </si>
  <si>
    <t xml:space="preserve">27, 28</t>
  </si>
  <si>
    <t xml:space="preserve">브람, 스미트 부인</t>
  </si>
  <si>
    <t xml:space="preserve">환경·에너지</t>
  </si>
  <si>
    <t xml:space="preserve">76</t>
  </si>
  <si>
    <t xml:space="preserve">입주민 전체</t>
  </si>
  <si>
    <t xml:space="preserve">반려동물</t>
  </si>
  <si>
    <t xml:space="preserve">9</t>
  </si>
  <si>
    <t xml:space="preserve">스미트 부인</t>
  </si>
  <si>
    <t xml:space="preserve">프리랜서·실업수당</t>
  </si>
  <si>
    <t xml:space="preserve">46</t>
  </si>
  <si>
    <t xml:space="preserve">단, 예서</t>
  </si>
  <si>
    <t xml:space="preserve">결혼식·장례식</t>
  </si>
  <si>
    <t xml:space="preserve">51, 82</t>
  </si>
  <si>
    <t xml:space="preserve">오파 케이스, 펨커와 요스트</t>
  </si>
  <si>
    <t xml:space="preserve">이주·정체성</t>
  </si>
  <si>
    <t xml:space="preserve">61</t>
  </si>
  <si>
    <t xml:space="preserve">야스민과 부모님</t>
  </si>
  <si>
    <t xml:space="preserve">문화생활</t>
  </si>
  <si>
    <t xml:space="preserve">34</t>
  </si>
  <si>
    <t xml:space="preserve">마리커, 에므레</t>
  </si>
  <si>
    <t xml:space="preserve">이사</t>
  </si>
  <si>
    <t xml:space="preserve">78</t>
  </si>
  <si>
    <t xml:space="preserve">예서, 입주민</t>
  </si>
  <si>
    <t xml:space="preserve">기술(스마트폰)</t>
  </si>
  <si>
    <t xml:space="preserve">11</t>
  </si>
  <si>
    <t xml:space="preserve">오파 케이스, 에므레</t>
  </si>
  <si>
    <t xml:space="preserve">자원봉사</t>
  </si>
  <si>
    <t xml:space="preserve">58</t>
  </si>
  <si>
    <t xml:space="preserve">노년 생활</t>
  </si>
  <si>
    <t xml:space="preserve">11, 43, 51, 53, 64, 88</t>
  </si>
  <si>
    <t xml:space="preserve">오파 케이스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</si>
</sst>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  <charset val="1"/>
    </font>
    <font>
      <sz val="10"/>
      <color rgb="FF0000FF"/>
      <name val="Arial"/>
      <family val="0"/>
      <charset val="1"/>
    </font>
    <font>
      <i val="true"/>
      <sz val="9"/>
      <name val="WenQuanYi Zen Hei"/>
      <family val="2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WenQuanYi Zen Hei"/>
      <family val="2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E4DFEC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0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26.25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</row>
    <row r="7" customFormat="false" ht="15" hidden="false" customHeight="true" outlineLevel="0" collapsed="false">
      <c r="A7" s="5" t="s">
        <v>8</v>
      </c>
      <c r="B7" s="6" t="s">
        <v>9</v>
      </c>
    </row>
    <row r="8" customFormat="false" ht="15" hidden="false" customHeight="true" outlineLevel="0" collapsed="false">
      <c r="A8" s="5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5" t="s">
        <v>13</v>
      </c>
    </row>
    <row r="10" customFormat="false" ht="15" hidden="false" customHeight="true" outlineLevel="0" collapsed="false">
      <c r="A10" s="5" t="s">
        <v>14</v>
      </c>
      <c r="B10" s="5" t="s">
        <v>15</v>
      </c>
    </row>
    <row r="11" customFormat="false" ht="15" hidden="false" customHeight="true" outlineLevel="0" collapsed="false">
      <c r="A11" s="5" t="s">
        <v>16</v>
      </c>
      <c r="B11" s="5" t="s">
        <v>17</v>
      </c>
    </row>
    <row r="12" customFormat="false" ht="15" hidden="false" customHeight="true" outlineLevel="0" collapsed="false">
      <c r="A12" s="5" t="s">
        <v>18</v>
      </c>
      <c r="B12" s="6" t="s">
        <v>19</v>
      </c>
    </row>
    <row r="13" customFormat="false" ht="15" hidden="false" customHeight="true" outlineLevel="0" collapsed="false">
      <c r="A13" s="5" t="s">
        <v>20</v>
      </c>
      <c r="B13" s="5" t="s">
        <v>21</v>
      </c>
    </row>
    <row r="14" customFormat="false" ht="15" hidden="false" customHeight="true" outlineLevel="0" collapsed="false">
      <c r="A14" s="5" t="s">
        <v>22</v>
      </c>
      <c r="B14" s="5" t="s">
        <v>23</v>
      </c>
    </row>
    <row r="16" customFormat="false" ht="15" hidden="false" customHeight="true" outlineLevel="0" collapsed="false">
      <c r="A16" s="7" t="s">
        <v>24</v>
      </c>
    </row>
    <row r="17" customFormat="false" ht="15" hidden="false" customHeight="true" outlineLevel="0" collapsed="false">
      <c r="A17" s="8" t="s">
        <v>25</v>
      </c>
      <c r="B17" s="9" t="n">
        <f aca="false">COUNTA('화별 개요'!B2:B91)</f>
        <v>90</v>
      </c>
    </row>
    <row r="18" customFormat="false" ht="15" hidden="false" customHeight="true" outlineLevel="0" collapsed="false">
      <c r="A18" s="8" t="s">
        <v>26</v>
      </c>
      <c r="B18" s="10" t="n">
        <v>120</v>
      </c>
    </row>
    <row r="19" customFormat="false" ht="15" hidden="false" customHeight="true" outlineLevel="0" collapsed="false">
      <c r="A19" s="8" t="s">
        <v>27</v>
      </c>
      <c r="B19" s="9" t="n">
        <f aca="false">B17*B18</f>
        <v>10800</v>
      </c>
    </row>
    <row r="20" customFormat="false" ht="15" hidden="false" customHeight="true" outlineLevel="0" collapsed="false">
      <c r="A20" s="8" t="s">
        <v>28</v>
      </c>
      <c r="B20" s="9" t="n">
        <v>5</v>
      </c>
    </row>
    <row r="21" customFormat="false" ht="15" hidden="false" customHeight="true" outlineLevel="0" collapsed="false">
      <c r="A21" s="8" t="s">
        <v>29</v>
      </c>
      <c r="B21" s="9" t="n">
        <v>18</v>
      </c>
    </row>
    <row r="22" customFormat="false" ht="15" hidden="false" customHeight="true" outlineLevel="0" collapsed="false">
      <c r="A22" s="1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27</v>
      </c>
    </row>
    <row r="2" customFormat="false" ht="15" hidden="false" customHeight="true" outlineLevel="0" collapsed="false">
      <c r="A2" s="12" t="s">
        <v>35</v>
      </c>
      <c r="B2" s="8" t="n">
        <f aca="false">COUNTIF('화별 개요'!C2:C91,A2)</f>
        <v>18</v>
      </c>
      <c r="C2" s="8" t="n">
        <f aca="false">COUNTIFS('화별 개요'!C2:C91,A2,'화별 개요'!H2:H91,"초고완료")+COUNTIFS('화별 개요'!C2:C91,A2,'화별 개요'!H2:H91,"검수완료")</f>
        <v>0</v>
      </c>
      <c r="D2" s="13" t="n">
        <f aca="false">IF(B2=0,0,C2/B2)</f>
        <v>0</v>
      </c>
      <c r="E2" s="8" t="n">
        <f aca="false">SUMIFS('화별 개요'!G2:G91,'화별 개요'!C2:C91,A2)</f>
        <v>2160</v>
      </c>
    </row>
    <row r="3" customFormat="false" ht="15" hidden="false" customHeight="true" outlineLevel="0" collapsed="false">
      <c r="A3" s="14" t="s">
        <v>36</v>
      </c>
      <c r="B3" s="8" t="n">
        <f aca="false">COUNTIF('화별 개요'!C2:C91,A3)</f>
        <v>18</v>
      </c>
      <c r="C3" s="8" t="n">
        <f aca="false">COUNTIFS('화별 개요'!C2:C91,A3,'화별 개요'!H2:H91,"초고완료")+COUNTIFS('화별 개요'!C2:C91,A3,'화별 개요'!H2:H91,"검수완료")</f>
        <v>0</v>
      </c>
      <c r="D3" s="13" t="n">
        <f aca="false">IF(B3=0,0,C3/B3)</f>
        <v>0</v>
      </c>
      <c r="E3" s="8" t="n">
        <f aca="false">SUMIFS('화별 개요'!G2:G91,'화별 개요'!C2:C91,A3)</f>
        <v>2160</v>
      </c>
    </row>
    <row r="4" customFormat="false" ht="15" hidden="false" customHeight="true" outlineLevel="0" collapsed="false">
      <c r="A4" s="15" t="s">
        <v>37</v>
      </c>
      <c r="B4" s="8" t="n">
        <f aca="false">COUNTIF('화별 개요'!C2:C91,A4)</f>
        <v>18</v>
      </c>
      <c r="C4" s="8" t="n">
        <f aca="false">COUNTIFS('화별 개요'!C2:C91,A4,'화별 개요'!H2:H91,"초고완료")+COUNTIFS('화별 개요'!C2:C91,A4,'화별 개요'!H2:H91,"검수완료")</f>
        <v>0</v>
      </c>
      <c r="D4" s="13" t="n">
        <f aca="false">IF(B4=0,0,C4/B4)</f>
        <v>0</v>
      </c>
      <c r="E4" s="8" t="n">
        <f aca="false">SUMIFS('화별 개요'!G2:G91,'화별 개요'!C2:C91,A4)</f>
        <v>2160</v>
      </c>
    </row>
    <row r="5" customFormat="false" ht="15" hidden="false" customHeight="true" outlineLevel="0" collapsed="false">
      <c r="A5" s="16" t="s">
        <v>38</v>
      </c>
      <c r="B5" s="8" t="n">
        <f aca="false">COUNTIF('화별 개요'!C2:C91,A5)</f>
        <v>18</v>
      </c>
      <c r="C5" s="8" t="n">
        <f aca="false">COUNTIFS('화별 개요'!C2:C91,A5,'화별 개요'!H2:H91,"초고완료")+COUNTIFS('화별 개요'!C2:C91,A5,'화별 개요'!H2:H91,"검수완료")</f>
        <v>0</v>
      </c>
      <c r="D5" s="13" t="n">
        <f aca="false">IF(B5=0,0,C5/B5)</f>
        <v>0</v>
      </c>
      <c r="E5" s="8" t="n">
        <f aca="false">SUMIFS('화별 개요'!G2:G91,'화별 개요'!C2:C91,A5)</f>
        <v>2160</v>
      </c>
    </row>
    <row r="6" customFormat="false" ht="15" hidden="false" customHeight="true" outlineLevel="0" collapsed="false">
      <c r="A6" s="17" t="s">
        <v>39</v>
      </c>
      <c r="B6" s="8" t="n">
        <f aca="false">COUNTIF('화별 개요'!C2:C91,A6)</f>
        <v>18</v>
      </c>
      <c r="C6" s="8" t="n">
        <f aca="false">COUNTIFS('화별 개요'!C2:C91,A6,'화별 개요'!H2:H91,"초고완료")+COUNTIFS('화별 개요'!C2:C91,A6,'화별 개요'!H2:H91,"검수완료")</f>
        <v>0</v>
      </c>
      <c r="D6" s="13" t="n">
        <f aca="false">IF(B6=0,0,C6/B6)</f>
        <v>0</v>
      </c>
      <c r="E6" s="8" t="n">
        <f aca="false">SUMIFS('화별 개요'!G2:G91,'화별 개요'!C2:C91,A6)</f>
        <v>2160</v>
      </c>
    </row>
    <row r="7" customFormat="false" ht="15" hidden="false" customHeight="true" outlineLevel="0" collapsed="false">
      <c r="A7" s="18" t="s">
        <v>40</v>
      </c>
      <c r="B7" s="18" t="n">
        <f aca="false">SUM(B2:B6)</f>
        <v>90</v>
      </c>
      <c r="C7" s="18" t="n">
        <f aca="false">SUM(C2:C6)</f>
        <v>0</v>
      </c>
      <c r="D7" s="19" t="n">
        <f aca="false">IF(B7=0,0,C7/B7)</f>
        <v>0</v>
      </c>
      <c r="E7" s="18" t="n">
        <f aca="false">SUM(E2:E6)</f>
        <v>10800</v>
      </c>
    </row>
    <row r="9" customFormat="false" ht="15" hidden="false" customHeight="true" outlineLevel="0" collapsed="false">
      <c r="A9" s="2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0"/>
    <col collapsed="false" customWidth="true" hidden="false" outlineLevel="0" max="3" min="3" style="1" width="40"/>
  </cols>
  <sheetData>
    <row r="1" customFormat="false" ht="15" hidden="false" customHeight="true" outlineLevel="0" collapsed="false">
      <c r="A1" s="4" t="s">
        <v>42</v>
      </c>
      <c r="B1" s="4" t="s">
        <v>43</v>
      </c>
      <c r="C1" s="4" t="s">
        <v>44</v>
      </c>
    </row>
    <row r="2" customFormat="false" ht="15" hidden="false" customHeight="true" outlineLevel="0" collapsed="false">
      <c r="A2" s="6" t="s">
        <v>45</v>
      </c>
      <c r="B2" s="6" t="s">
        <v>46</v>
      </c>
      <c r="C2" s="5" t="s">
        <v>47</v>
      </c>
    </row>
    <row r="3" customFormat="false" ht="15" hidden="false" customHeight="true" outlineLevel="0" collapsed="false">
      <c r="A3" s="6" t="s">
        <v>48</v>
      </c>
      <c r="B3" s="6" t="s">
        <v>49</v>
      </c>
      <c r="C3" s="5" t="s">
        <v>50</v>
      </c>
    </row>
    <row r="4" customFormat="false" ht="15" hidden="false" customHeight="true" outlineLevel="0" collapsed="false">
      <c r="A4" s="6" t="s">
        <v>51</v>
      </c>
      <c r="B4" s="6" t="s">
        <v>52</v>
      </c>
      <c r="C4" s="5" t="s">
        <v>53</v>
      </c>
    </row>
    <row r="5" customFormat="false" ht="15" hidden="false" customHeight="true" outlineLevel="0" collapsed="false">
      <c r="A5" s="6" t="s">
        <v>54</v>
      </c>
      <c r="B5" s="6" t="s">
        <v>55</v>
      </c>
      <c r="C5" s="5" t="s">
        <v>56</v>
      </c>
    </row>
    <row r="6" customFormat="false" ht="15" hidden="false" customHeight="true" outlineLevel="0" collapsed="false">
      <c r="A6" s="6" t="s">
        <v>57</v>
      </c>
      <c r="B6" s="6" t="s">
        <v>58</v>
      </c>
      <c r="C6" s="5" t="s">
        <v>59</v>
      </c>
    </row>
    <row r="7" customFormat="false" ht="15" hidden="false" customHeight="true" outlineLevel="0" collapsed="false">
      <c r="A7" s="6" t="s">
        <v>60</v>
      </c>
      <c r="B7" s="6" t="s">
        <v>61</v>
      </c>
      <c r="C7" s="5" t="s">
        <v>62</v>
      </c>
    </row>
    <row r="8" customFormat="false" ht="15" hidden="false" customHeight="true" outlineLevel="0" collapsed="false">
      <c r="A8" s="6" t="s">
        <v>63</v>
      </c>
      <c r="B8" s="6" t="s">
        <v>64</v>
      </c>
      <c r="C8" s="5" t="s">
        <v>65</v>
      </c>
    </row>
    <row r="9" customFormat="false" ht="15" hidden="false" customHeight="true" outlineLevel="0" collapsed="false">
      <c r="A9" s="6" t="s">
        <v>66</v>
      </c>
      <c r="B9" s="6" t="s">
        <v>67</v>
      </c>
      <c r="C9" s="5" t="s">
        <v>68</v>
      </c>
    </row>
    <row r="10" customFormat="false" ht="15" hidden="false" customHeight="true" outlineLevel="0" collapsed="false">
      <c r="A10" s="6" t="s">
        <v>69</v>
      </c>
      <c r="B10" s="6" t="s">
        <v>70</v>
      </c>
      <c r="C10" s="5" t="s">
        <v>71</v>
      </c>
    </row>
    <row r="11" customFormat="false" ht="15" hidden="false" customHeight="true" outlineLevel="0" collapsed="false">
      <c r="A11" s="6" t="s">
        <v>72</v>
      </c>
      <c r="B11" s="6" t="s">
        <v>73</v>
      </c>
      <c r="C11" s="5" t="s">
        <v>74</v>
      </c>
    </row>
    <row r="12" customFormat="false" ht="26.25" hidden="false" customHeight="true" outlineLevel="0" collapsed="false">
      <c r="A12" s="6" t="s">
        <v>75</v>
      </c>
      <c r="B12" s="6" t="s">
        <v>76</v>
      </c>
      <c r="C12" s="5" t="s">
        <v>77</v>
      </c>
    </row>
    <row r="13" customFormat="false" ht="15" hidden="false" customHeight="true" outlineLevel="0" collapsed="false">
      <c r="A13" s="6" t="s">
        <v>78</v>
      </c>
      <c r="B13" s="6" t="s">
        <v>79</v>
      </c>
      <c r="C13" s="5" t="s">
        <v>80</v>
      </c>
    </row>
    <row r="14" customFormat="false" ht="15" hidden="false" customHeight="true" outlineLevel="0" collapsed="false">
      <c r="A14" s="6" t="s">
        <v>81</v>
      </c>
      <c r="B14" s="6" t="s">
        <v>82</v>
      </c>
      <c r="C14" s="5" t="s">
        <v>83</v>
      </c>
    </row>
    <row r="15" customFormat="false" ht="15" hidden="false" customHeight="true" outlineLevel="0" collapsed="false">
      <c r="A15" s="6" t="s">
        <v>84</v>
      </c>
      <c r="B15" s="6" t="s">
        <v>85</v>
      </c>
      <c r="C15" s="5" t="s">
        <v>86</v>
      </c>
    </row>
    <row r="16" customFormat="false" ht="15" hidden="false" customHeight="true" outlineLevel="0" collapsed="false">
      <c r="A16" s="6" t="s">
        <v>87</v>
      </c>
      <c r="B16" s="6" t="s">
        <v>88</v>
      </c>
      <c r="C16" s="5" t="s">
        <v>89</v>
      </c>
    </row>
    <row r="17" customFormat="false" ht="15" hidden="false" customHeight="true" outlineLevel="0" collapsed="false">
      <c r="A17" s="6" t="s">
        <v>90</v>
      </c>
      <c r="B17" s="6" t="s">
        <v>91</v>
      </c>
      <c r="C17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9" min="5" style="1" width="10"/>
  </cols>
  <sheetData>
    <row r="1" customFormat="false" ht="15" hidden="false" customHeight="true" outlineLevel="0" collapsed="false">
      <c r="A1" s="4" t="s">
        <v>31</v>
      </c>
      <c r="B1" s="4" t="s">
        <v>93</v>
      </c>
      <c r="C1" s="4" t="s">
        <v>94</v>
      </c>
      <c r="D1" s="4" t="s">
        <v>95</v>
      </c>
      <c r="E1" s="21" t="s">
        <v>96</v>
      </c>
      <c r="F1" s="21" t="s">
        <v>97</v>
      </c>
      <c r="G1" s="21" t="s">
        <v>98</v>
      </c>
      <c r="H1" s="21" t="s">
        <v>99</v>
      </c>
      <c r="I1" s="22" t="s">
        <v>40</v>
      </c>
    </row>
    <row r="2" customFormat="false" ht="15" hidden="false" customHeight="true" outlineLevel="0" collapsed="false">
      <c r="A2" s="6" t="s">
        <v>100</v>
      </c>
      <c r="B2" s="5" t="s">
        <v>101</v>
      </c>
      <c r="C2" s="5" t="s">
        <v>102</v>
      </c>
      <c r="D2" s="6" t="s">
        <v>103</v>
      </c>
      <c r="E2" s="23" t="n">
        <v>0.45</v>
      </c>
      <c r="F2" s="23" t="n">
        <v>0.35</v>
      </c>
      <c r="G2" s="23" t="n">
        <v>0.15</v>
      </c>
      <c r="H2" s="23" t="n">
        <v>0.05</v>
      </c>
      <c r="I2" s="13" t="n">
        <f aca="false">SUM(E2:H2)</f>
        <v>1</v>
      </c>
    </row>
    <row r="3" customFormat="false" ht="15" hidden="false" customHeight="true" outlineLevel="0" collapsed="false">
      <c r="A3" s="6" t="s">
        <v>104</v>
      </c>
      <c r="B3" s="5" t="s">
        <v>105</v>
      </c>
      <c r="C3" s="5" t="s">
        <v>106</v>
      </c>
      <c r="D3" s="6" t="s">
        <v>107</v>
      </c>
      <c r="E3" s="23" t="n">
        <v>0.25</v>
      </c>
      <c r="F3" s="23" t="n">
        <v>0.4</v>
      </c>
      <c r="G3" s="23" t="n">
        <v>0.25</v>
      </c>
      <c r="H3" s="23" t="n">
        <v>0.1</v>
      </c>
      <c r="I3" s="13" t="n">
        <f aca="false">SUM(E3:H3)</f>
        <v>1</v>
      </c>
    </row>
    <row r="4" customFormat="false" ht="15" hidden="false" customHeight="true" outlineLevel="0" collapsed="false">
      <c r="A4" s="6" t="s">
        <v>108</v>
      </c>
      <c r="B4" s="5" t="s">
        <v>109</v>
      </c>
      <c r="C4" s="5" t="s">
        <v>110</v>
      </c>
      <c r="D4" s="6" t="s">
        <v>107</v>
      </c>
      <c r="E4" s="23" t="n">
        <v>0.15</v>
      </c>
      <c r="F4" s="23" t="n">
        <v>0.35</v>
      </c>
      <c r="G4" s="23" t="n">
        <v>0.35</v>
      </c>
      <c r="H4" s="23" t="n">
        <v>0.15</v>
      </c>
      <c r="I4" s="13" t="n">
        <f aca="false">SUM(E4:H4)</f>
        <v>1</v>
      </c>
    </row>
    <row r="5" customFormat="false" ht="15" hidden="false" customHeight="true" outlineLevel="0" collapsed="false">
      <c r="A5" s="6" t="s">
        <v>111</v>
      </c>
      <c r="B5" s="5" t="s">
        <v>112</v>
      </c>
      <c r="C5" s="5" t="s">
        <v>113</v>
      </c>
      <c r="D5" s="6" t="s">
        <v>114</v>
      </c>
      <c r="E5" s="23" t="n">
        <v>0.1</v>
      </c>
      <c r="F5" s="23" t="n">
        <v>0.25</v>
      </c>
      <c r="G5" s="23" t="n">
        <v>0.4</v>
      </c>
      <c r="H5" s="23" t="n">
        <v>0.25</v>
      </c>
      <c r="I5" s="13" t="n">
        <f aca="false">SUM(E5:H5)</f>
        <v>1</v>
      </c>
    </row>
    <row r="6" customFormat="false" ht="15" hidden="false" customHeight="true" outlineLevel="0" collapsed="false">
      <c r="A6" s="6" t="s">
        <v>115</v>
      </c>
      <c r="B6" s="5" t="s">
        <v>116</v>
      </c>
      <c r="C6" s="5" t="s">
        <v>117</v>
      </c>
      <c r="D6" s="6" t="s">
        <v>114</v>
      </c>
      <c r="E6" s="23" t="n">
        <v>0.05</v>
      </c>
      <c r="F6" s="23" t="n">
        <v>0.2</v>
      </c>
      <c r="G6" s="23" t="n">
        <v>0.4</v>
      </c>
      <c r="H6" s="23" t="n">
        <v>0.35</v>
      </c>
      <c r="I6" s="13" t="n">
        <f aca="false">SUM(E6:H6)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60"/>
    <col collapsed="false" customWidth="true" hidden="false" outlineLevel="0" max="6" min="6" style="1" width="48"/>
    <col collapsed="false" customWidth="true" hidden="false" outlineLevel="0" max="7" min="7" style="1" width="8"/>
    <col collapsed="false" customWidth="true" hidden="false" outlineLevel="0" max="8" min="8" style="1" width="12"/>
  </cols>
  <sheetData>
    <row r="1" customFormat="false" ht="15" hidden="false" customHeight="true" outlineLevel="0" collapsed="false">
      <c r="A1" s="4" t="s">
        <v>118</v>
      </c>
      <c r="B1" s="4" t="s">
        <v>119</v>
      </c>
      <c r="C1" s="4" t="s">
        <v>31</v>
      </c>
      <c r="D1" s="4" t="s">
        <v>18</v>
      </c>
      <c r="E1" s="4" t="s">
        <v>120</v>
      </c>
      <c r="F1" s="4" t="s">
        <v>121</v>
      </c>
      <c r="G1" s="4" t="s">
        <v>122</v>
      </c>
      <c r="H1" s="4" t="s">
        <v>123</v>
      </c>
    </row>
    <row r="2" customFormat="false" ht="15" hidden="false" customHeight="true" outlineLevel="0" collapsed="false">
      <c r="A2" s="24" t="n">
        <v>1</v>
      </c>
      <c r="B2" s="25" t="s">
        <v>124</v>
      </c>
      <c r="C2" s="25" t="s">
        <v>35</v>
      </c>
      <c r="D2" s="25" t="s">
        <v>103</v>
      </c>
      <c r="E2" s="26" t="s">
        <v>125</v>
      </c>
      <c r="F2" s="26" t="s">
        <v>126</v>
      </c>
      <c r="G2" s="27" t="n">
        <v>120</v>
      </c>
      <c r="H2" s="28" t="s">
        <v>127</v>
      </c>
    </row>
    <row r="3" customFormat="false" ht="15" hidden="false" customHeight="true" outlineLevel="0" collapsed="false">
      <c r="A3" s="24" t="n">
        <v>2</v>
      </c>
      <c r="B3" s="25" t="s">
        <v>128</v>
      </c>
      <c r="C3" s="25" t="s">
        <v>35</v>
      </c>
      <c r="D3" s="25" t="s">
        <v>103</v>
      </c>
      <c r="E3" s="26" t="s">
        <v>129</v>
      </c>
      <c r="F3" s="26" t="s">
        <v>130</v>
      </c>
      <c r="G3" s="27" t="n">
        <v>120</v>
      </c>
      <c r="H3" s="28" t="s">
        <v>127</v>
      </c>
    </row>
    <row r="4" customFormat="false" ht="15" hidden="false" customHeight="true" outlineLevel="0" collapsed="false">
      <c r="A4" s="24" t="n">
        <v>3</v>
      </c>
      <c r="B4" s="25" t="s">
        <v>131</v>
      </c>
      <c r="C4" s="25" t="s">
        <v>35</v>
      </c>
      <c r="D4" s="25" t="s">
        <v>103</v>
      </c>
      <c r="E4" s="26" t="s">
        <v>132</v>
      </c>
      <c r="F4" s="26" t="s">
        <v>133</v>
      </c>
      <c r="G4" s="27" t="n">
        <v>120</v>
      </c>
      <c r="H4" s="28" t="s">
        <v>127</v>
      </c>
    </row>
    <row r="5" customFormat="false" ht="15" hidden="false" customHeight="true" outlineLevel="0" collapsed="false">
      <c r="A5" s="24" t="n">
        <v>4</v>
      </c>
      <c r="B5" s="25" t="s">
        <v>134</v>
      </c>
      <c r="C5" s="25" t="s">
        <v>35</v>
      </c>
      <c r="D5" s="25" t="s">
        <v>103</v>
      </c>
      <c r="E5" s="26" t="s">
        <v>135</v>
      </c>
      <c r="F5" s="26" t="s">
        <v>136</v>
      </c>
      <c r="G5" s="27" t="n">
        <v>120</v>
      </c>
      <c r="H5" s="28" t="s">
        <v>127</v>
      </c>
    </row>
    <row r="6" customFormat="false" ht="15" hidden="false" customHeight="true" outlineLevel="0" collapsed="false">
      <c r="A6" s="24" t="n">
        <v>5</v>
      </c>
      <c r="B6" s="25" t="s">
        <v>137</v>
      </c>
      <c r="C6" s="25" t="s">
        <v>35</v>
      </c>
      <c r="D6" s="25" t="s">
        <v>103</v>
      </c>
      <c r="E6" s="26" t="s">
        <v>138</v>
      </c>
      <c r="F6" s="26" t="s">
        <v>139</v>
      </c>
      <c r="G6" s="27" t="n">
        <v>120</v>
      </c>
      <c r="H6" s="28" t="s">
        <v>127</v>
      </c>
    </row>
    <row r="7" customFormat="false" ht="15" hidden="false" customHeight="true" outlineLevel="0" collapsed="false">
      <c r="A7" s="24" t="n">
        <v>6</v>
      </c>
      <c r="B7" s="25" t="s">
        <v>140</v>
      </c>
      <c r="C7" s="25" t="s">
        <v>35</v>
      </c>
      <c r="D7" s="25" t="s">
        <v>103</v>
      </c>
      <c r="E7" s="25" t="s">
        <v>141</v>
      </c>
      <c r="F7" s="26" t="s">
        <v>142</v>
      </c>
      <c r="G7" s="27" t="n">
        <v>120</v>
      </c>
      <c r="H7" s="28" t="s">
        <v>127</v>
      </c>
    </row>
    <row r="8" customFormat="false" ht="15" hidden="false" customHeight="true" outlineLevel="0" collapsed="false">
      <c r="A8" s="24" t="n">
        <v>7</v>
      </c>
      <c r="B8" s="25" t="s">
        <v>143</v>
      </c>
      <c r="C8" s="25" t="s">
        <v>35</v>
      </c>
      <c r="D8" s="25" t="s">
        <v>103</v>
      </c>
      <c r="E8" s="26" t="s">
        <v>144</v>
      </c>
      <c r="F8" s="26" t="s">
        <v>145</v>
      </c>
      <c r="G8" s="27" t="n">
        <v>120</v>
      </c>
      <c r="H8" s="28" t="s">
        <v>127</v>
      </c>
    </row>
    <row r="9" customFormat="false" ht="15" hidden="false" customHeight="true" outlineLevel="0" collapsed="false">
      <c r="A9" s="24" t="n">
        <v>8</v>
      </c>
      <c r="B9" s="25" t="s">
        <v>146</v>
      </c>
      <c r="C9" s="25" t="s">
        <v>35</v>
      </c>
      <c r="D9" s="25" t="s">
        <v>103</v>
      </c>
      <c r="E9" s="26" t="s">
        <v>147</v>
      </c>
      <c r="F9" s="26" t="s">
        <v>148</v>
      </c>
      <c r="G9" s="27" t="n">
        <v>120</v>
      </c>
      <c r="H9" s="28" t="s">
        <v>127</v>
      </c>
    </row>
    <row r="10" customFormat="false" ht="15" hidden="false" customHeight="true" outlineLevel="0" collapsed="false">
      <c r="A10" s="24" t="n">
        <v>9</v>
      </c>
      <c r="B10" s="25" t="s">
        <v>149</v>
      </c>
      <c r="C10" s="25" t="s">
        <v>35</v>
      </c>
      <c r="D10" s="25" t="s">
        <v>103</v>
      </c>
      <c r="E10" s="26" t="s">
        <v>150</v>
      </c>
      <c r="F10" s="26" t="s">
        <v>151</v>
      </c>
      <c r="G10" s="27" t="n">
        <v>120</v>
      </c>
      <c r="H10" s="28" t="s">
        <v>127</v>
      </c>
    </row>
    <row r="11" customFormat="false" ht="15" hidden="false" customHeight="true" outlineLevel="0" collapsed="false">
      <c r="A11" s="24" t="n">
        <v>10</v>
      </c>
      <c r="B11" s="25" t="s">
        <v>152</v>
      </c>
      <c r="C11" s="25" t="s">
        <v>35</v>
      </c>
      <c r="D11" s="25" t="s">
        <v>103</v>
      </c>
      <c r="E11" s="26" t="s">
        <v>153</v>
      </c>
      <c r="F11" s="26" t="s">
        <v>154</v>
      </c>
      <c r="G11" s="27" t="n">
        <v>120</v>
      </c>
      <c r="H11" s="28" t="s">
        <v>127</v>
      </c>
    </row>
    <row r="12" customFormat="false" ht="15" hidden="false" customHeight="true" outlineLevel="0" collapsed="false">
      <c r="A12" s="24" t="n">
        <v>11</v>
      </c>
      <c r="B12" s="25" t="s">
        <v>155</v>
      </c>
      <c r="C12" s="25" t="s">
        <v>35</v>
      </c>
      <c r="D12" s="25" t="s">
        <v>103</v>
      </c>
      <c r="E12" s="26" t="s">
        <v>156</v>
      </c>
      <c r="F12" s="26" t="s">
        <v>157</v>
      </c>
      <c r="G12" s="27" t="n">
        <v>120</v>
      </c>
      <c r="H12" s="28" t="s">
        <v>127</v>
      </c>
    </row>
    <row r="13" customFormat="false" ht="15" hidden="false" customHeight="true" outlineLevel="0" collapsed="false">
      <c r="A13" s="24" t="n">
        <v>12</v>
      </c>
      <c r="B13" s="25" t="s">
        <v>158</v>
      </c>
      <c r="C13" s="25" t="s">
        <v>35</v>
      </c>
      <c r="D13" s="25" t="s">
        <v>103</v>
      </c>
      <c r="E13" s="26" t="s">
        <v>159</v>
      </c>
      <c r="F13" s="26" t="s">
        <v>160</v>
      </c>
      <c r="G13" s="27" t="n">
        <v>120</v>
      </c>
      <c r="H13" s="28" t="s">
        <v>127</v>
      </c>
    </row>
    <row r="14" customFormat="false" ht="15" hidden="false" customHeight="true" outlineLevel="0" collapsed="false">
      <c r="A14" s="24" t="n">
        <v>13</v>
      </c>
      <c r="B14" s="25" t="s">
        <v>161</v>
      </c>
      <c r="C14" s="25" t="s">
        <v>35</v>
      </c>
      <c r="D14" s="25" t="s">
        <v>103</v>
      </c>
      <c r="E14" s="25" t="s">
        <v>162</v>
      </c>
      <c r="F14" s="26" t="s">
        <v>163</v>
      </c>
      <c r="G14" s="27" t="n">
        <v>120</v>
      </c>
      <c r="H14" s="28" t="s">
        <v>127</v>
      </c>
    </row>
    <row r="15" customFormat="false" ht="15" hidden="false" customHeight="true" outlineLevel="0" collapsed="false">
      <c r="A15" s="24" t="n">
        <v>14</v>
      </c>
      <c r="B15" s="25" t="s">
        <v>164</v>
      </c>
      <c r="C15" s="25" t="s">
        <v>35</v>
      </c>
      <c r="D15" s="25" t="s">
        <v>103</v>
      </c>
      <c r="E15" s="25" t="s">
        <v>165</v>
      </c>
      <c r="F15" s="26" t="s">
        <v>166</v>
      </c>
      <c r="G15" s="27" t="n">
        <v>120</v>
      </c>
      <c r="H15" s="28" t="s">
        <v>127</v>
      </c>
    </row>
    <row r="16" customFormat="false" ht="15" hidden="false" customHeight="true" outlineLevel="0" collapsed="false">
      <c r="A16" s="24" t="n">
        <v>15</v>
      </c>
      <c r="B16" s="25" t="s">
        <v>167</v>
      </c>
      <c r="C16" s="25" t="s">
        <v>35</v>
      </c>
      <c r="D16" s="25" t="s">
        <v>103</v>
      </c>
      <c r="E16" s="25" t="s">
        <v>168</v>
      </c>
      <c r="F16" s="26" t="s">
        <v>169</v>
      </c>
      <c r="G16" s="27" t="n">
        <v>120</v>
      </c>
      <c r="H16" s="28" t="s">
        <v>127</v>
      </c>
    </row>
    <row r="17" customFormat="false" ht="15" hidden="false" customHeight="true" outlineLevel="0" collapsed="false">
      <c r="A17" s="24" t="n">
        <v>16</v>
      </c>
      <c r="B17" s="25" t="s">
        <v>170</v>
      </c>
      <c r="C17" s="25" t="s">
        <v>35</v>
      </c>
      <c r="D17" s="25" t="s">
        <v>103</v>
      </c>
      <c r="E17" s="26" t="s">
        <v>171</v>
      </c>
      <c r="F17" s="26" t="s">
        <v>172</v>
      </c>
      <c r="G17" s="27" t="n">
        <v>120</v>
      </c>
      <c r="H17" s="28" t="s">
        <v>127</v>
      </c>
    </row>
    <row r="18" customFormat="false" ht="15" hidden="false" customHeight="true" outlineLevel="0" collapsed="false">
      <c r="A18" s="24" t="n">
        <v>17</v>
      </c>
      <c r="B18" s="25" t="s">
        <v>173</v>
      </c>
      <c r="C18" s="25" t="s">
        <v>35</v>
      </c>
      <c r="D18" s="25" t="s">
        <v>103</v>
      </c>
      <c r="E18" s="26" t="s">
        <v>174</v>
      </c>
      <c r="F18" s="26" t="s">
        <v>175</v>
      </c>
      <c r="G18" s="27" t="n">
        <v>120</v>
      </c>
      <c r="H18" s="28" t="s">
        <v>127</v>
      </c>
    </row>
    <row r="19" customFormat="false" ht="15" hidden="false" customHeight="true" outlineLevel="0" collapsed="false">
      <c r="A19" s="24" t="n">
        <v>18</v>
      </c>
      <c r="B19" s="25" t="s">
        <v>176</v>
      </c>
      <c r="C19" s="25" t="s">
        <v>35</v>
      </c>
      <c r="D19" s="25" t="s">
        <v>103</v>
      </c>
      <c r="E19" s="26" t="s">
        <v>177</v>
      </c>
      <c r="F19" s="26" t="s">
        <v>178</v>
      </c>
      <c r="G19" s="27" t="n">
        <v>120</v>
      </c>
      <c r="H19" s="28" t="s">
        <v>127</v>
      </c>
    </row>
    <row r="20" customFormat="false" ht="15" hidden="false" customHeight="true" outlineLevel="0" collapsed="false">
      <c r="A20" s="29" t="n">
        <v>19</v>
      </c>
      <c r="B20" s="30" t="s">
        <v>179</v>
      </c>
      <c r="C20" s="30" t="s">
        <v>36</v>
      </c>
      <c r="D20" s="30" t="s">
        <v>107</v>
      </c>
      <c r="E20" s="31" t="s">
        <v>180</v>
      </c>
      <c r="F20" s="31" t="s">
        <v>181</v>
      </c>
      <c r="G20" s="32" t="n">
        <v>120</v>
      </c>
      <c r="H20" s="33" t="s">
        <v>127</v>
      </c>
    </row>
    <row r="21" customFormat="false" ht="15" hidden="false" customHeight="true" outlineLevel="0" collapsed="false">
      <c r="A21" s="29" t="n">
        <v>20</v>
      </c>
      <c r="B21" s="30" t="s">
        <v>182</v>
      </c>
      <c r="C21" s="30" t="s">
        <v>36</v>
      </c>
      <c r="D21" s="30" t="s">
        <v>107</v>
      </c>
      <c r="E21" s="31" t="s">
        <v>183</v>
      </c>
      <c r="F21" s="31" t="s">
        <v>184</v>
      </c>
      <c r="G21" s="32" t="n">
        <v>120</v>
      </c>
      <c r="H21" s="33" t="s">
        <v>127</v>
      </c>
    </row>
    <row r="22" customFormat="false" ht="15" hidden="false" customHeight="true" outlineLevel="0" collapsed="false">
      <c r="A22" s="29" t="n">
        <v>21</v>
      </c>
      <c r="B22" s="30" t="s">
        <v>185</v>
      </c>
      <c r="C22" s="30" t="s">
        <v>36</v>
      </c>
      <c r="D22" s="30" t="s">
        <v>107</v>
      </c>
      <c r="E22" s="30" t="s">
        <v>186</v>
      </c>
      <c r="F22" s="31" t="s">
        <v>187</v>
      </c>
      <c r="G22" s="32" t="n">
        <v>120</v>
      </c>
      <c r="H22" s="33" t="s">
        <v>127</v>
      </c>
    </row>
    <row r="23" customFormat="false" ht="15" hidden="false" customHeight="true" outlineLevel="0" collapsed="false">
      <c r="A23" s="29" t="n">
        <v>22</v>
      </c>
      <c r="B23" s="30" t="s">
        <v>188</v>
      </c>
      <c r="C23" s="30" t="s">
        <v>36</v>
      </c>
      <c r="D23" s="30" t="s">
        <v>107</v>
      </c>
      <c r="E23" s="31" t="s">
        <v>189</v>
      </c>
      <c r="F23" s="31" t="s">
        <v>190</v>
      </c>
      <c r="G23" s="32" t="n">
        <v>120</v>
      </c>
      <c r="H23" s="33" t="s">
        <v>127</v>
      </c>
    </row>
    <row r="24" customFormat="false" ht="15" hidden="false" customHeight="true" outlineLevel="0" collapsed="false">
      <c r="A24" s="29" t="n">
        <v>23</v>
      </c>
      <c r="B24" s="30" t="s">
        <v>191</v>
      </c>
      <c r="C24" s="30" t="s">
        <v>36</v>
      </c>
      <c r="D24" s="30" t="s">
        <v>107</v>
      </c>
      <c r="E24" s="31" t="s">
        <v>192</v>
      </c>
      <c r="F24" s="31" t="s">
        <v>193</v>
      </c>
      <c r="G24" s="32" t="n">
        <v>120</v>
      </c>
      <c r="H24" s="33" t="s">
        <v>127</v>
      </c>
    </row>
    <row r="25" customFormat="false" ht="15" hidden="false" customHeight="true" outlineLevel="0" collapsed="false">
      <c r="A25" s="29" t="n">
        <v>24</v>
      </c>
      <c r="B25" s="30" t="s">
        <v>194</v>
      </c>
      <c r="C25" s="30" t="s">
        <v>36</v>
      </c>
      <c r="D25" s="30" t="s">
        <v>107</v>
      </c>
      <c r="E25" s="31" t="s">
        <v>195</v>
      </c>
      <c r="F25" s="31" t="s">
        <v>196</v>
      </c>
      <c r="G25" s="32" t="n">
        <v>120</v>
      </c>
      <c r="H25" s="33" t="s">
        <v>127</v>
      </c>
    </row>
    <row r="26" customFormat="false" ht="15" hidden="false" customHeight="true" outlineLevel="0" collapsed="false">
      <c r="A26" s="29" t="n">
        <v>25</v>
      </c>
      <c r="B26" s="30" t="s">
        <v>197</v>
      </c>
      <c r="C26" s="30" t="s">
        <v>36</v>
      </c>
      <c r="D26" s="30" t="s">
        <v>107</v>
      </c>
      <c r="E26" s="31" t="s">
        <v>198</v>
      </c>
      <c r="F26" s="31" t="s">
        <v>199</v>
      </c>
      <c r="G26" s="32" t="n">
        <v>120</v>
      </c>
      <c r="H26" s="33" t="s">
        <v>127</v>
      </c>
    </row>
    <row r="27" customFormat="false" ht="15" hidden="false" customHeight="true" outlineLevel="0" collapsed="false">
      <c r="A27" s="29" t="n">
        <v>26</v>
      </c>
      <c r="B27" s="30" t="s">
        <v>200</v>
      </c>
      <c r="C27" s="30" t="s">
        <v>36</v>
      </c>
      <c r="D27" s="30" t="s">
        <v>107</v>
      </c>
      <c r="E27" s="31" t="s">
        <v>201</v>
      </c>
      <c r="F27" s="31" t="s">
        <v>202</v>
      </c>
      <c r="G27" s="32" t="n">
        <v>120</v>
      </c>
      <c r="H27" s="33" t="s">
        <v>127</v>
      </c>
    </row>
    <row r="28" customFormat="false" ht="15" hidden="false" customHeight="true" outlineLevel="0" collapsed="false">
      <c r="A28" s="29" t="n">
        <v>27</v>
      </c>
      <c r="B28" s="30" t="s">
        <v>203</v>
      </c>
      <c r="C28" s="30" t="s">
        <v>36</v>
      </c>
      <c r="D28" s="30" t="s">
        <v>107</v>
      </c>
      <c r="E28" s="31" t="s">
        <v>204</v>
      </c>
      <c r="F28" s="31" t="s">
        <v>205</v>
      </c>
      <c r="G28" s="32" t="n">
        <v>120</v>
      </c>
      <c r="H28" s="33" t="s">
        <v>127</v>
      </c>
    </row>
    <row r="29" customFormat="false" ht="15" hidden="false" customHeight="true" outlineLevel="0" collapsed="false">
      <c r="A29" s="29" t="n">
        <v>28</v>
      </c>
      <c r="B29" s="30" t="s">
        <v>206</v>
      </c>
      <c r="C29" s="30" t="s">
        <v>36</v>
      </c>
      <c r="D29" s="30" t="s">
        <v>107</v>
      </c>
      <c r="E29" s="30" t="s">
        <v>207</v>
      </c>
      <c r="F29" s="31" t="s">
        <v>208</v>
      </c>
      <c r="G29" s="32" t="n">
        <v>120</v>
      </c>
      <c r="H29" s="33" t="s">
        <v>127</v>
      </c>
    </row>
    <row r="30" customFormat="false" ht="15" hidden="false" customHeight="true" outlineLevel="0" collapsed="false">
      <c r="A30" s="29" t="n">
        <v>29</v>
      </c>
      <c r="B30" s="30" t="s">
        <v>209</v>
      </c>
      <c r="C30" s="30" t="s">
        <v>36</v>
      </c>
      <c r="D30" s="30" t="s">
        <v>107</v>
      </c>
      <c r="E30" s="31" t="s">
        <v>210</v>
      </c>
      <c r="F30" s="31" t="s">
        <v>211</v>
      </c>
      <c r="G30" s="32" t="n">
        <v>120</v>
      </c>
      <c r="H30" s="33" t="s">
        <v>127</v>
      </c>
    </row>
    <row r="31" customFormat="false" ht="15" hidden="false" customHeight="true" outlineLevel="0" collapsed="false">
      <c r="A31" s="29" t="n">
        <v>30</v>
      </c>
      <c r="B31" s="30" t="s">
        <v>212</v>
      </c>
      <c r="C31" s="30" t="s">
        <v>36</v>
      </c>
      <c r="D31" s="30" t="s">
        <v>107</v>
      </c>
      <c r="E31" s="31" t="s">
        <v>213</v>
      </c>
      <c r="F31" s="31" t="s">
        <v>214</v>
      </c>
      <c r="G31" s="32" t="n">
        <v>120</v>
      </c>
      <c r="H31" s="33" t="s">
        <v>127</v>
      </c>
    </row>
    <row r="32" customFormat="false" ht="15" hidden="false" customHeight="true" outlineLevel="0" collapsed="false">
      <c r="A32" s="29" t="n">
        <v>31</v>
      </c>
      <c r="B32" s="30" t="s">
        <v>215</v>
      </c>
      <c r="C32" s="30" t="s">
        <v>36</v>
      </c>
      <c r="D32" s="30" t="s">
        <v>107</v>
      </c>
      <c r="E32" s="31" t="s">
        <v>216</v>
      </c>
      <c r="F32" s="31" t="s">
        <v>217</v>
      </c>
      <c r="G32" s="32" t="n">
        <v>120</v>
      </c>
      <c r="H32" s="33" t="s">
        <v>127</v>
      </c>
    </row>
    <row r="33" customFormat="false" ht="15" hidden="false" customHeight="true" outlineLevel="0" collapsed="false">
      <c r="A33" s="29" t="n">
        <v>32</v>
      </c>
      <c r="B33" s="30" t="s">
        <v>218</v>
      </c>
      <c r="C33" s="30" t="s">
        <v>36</v>
      </c>
      <c r="D33" s="30" t="s">
        <v>107</v>
      </c>
      <c r="E33" s="31" t="s">
        <v>219</v>
      </c>
      <c r="F33" s="31" t="s">
        <v>220</v>
      </c>
      <c r="G33" s="32" t="n">
        <v>120</v>
      </c>
      <c r="H33" s="33" t="s">
        <v>127</v>
      </c>
    </row>
    <row r="34" customFormat="false" ht="15" hidden="false" customHeight="true" outlineLevel="0" collapsed="false">
      <c r="A34" s="29" t="n">
        <v>33</v>
      </c>
      <c r="B34" s="30" t="s">
        <v>221</v>
      </c>
      <c r="C34" s="30" t="s">
        <v>36</v>
      </c>
      <c r="D34" s="30" t="s">
        <v>107</v>
      </c>
      <c r="E34" s="31" t="s">
        <v>222</v>
      </c>
      <c r="F34" s="31" t="s">
        <v>223</v>
      </c>
      <c r="G34" s="32" t="n">
        <v>120</v>
      </c>
      <c r="H34" s="33" t="s">
        <v>127</v>
      </c>
    </row>
    <row r="35" customFormat="false" ht="15" hidden="false" customHeight="true" outlineLevel="0" collapsed="false">
      <c r="A35" s="29" t="n">
        <v>34</v>
      </c>
      <c r="B35" s="30" t="s">
        <v>224</v>
      </c>
      <c r="C35" s="30" t="s">
        <v>36</v>
      </c>
      <c r="D35" s="30" t="s">
        <v>107</v>
      </c>
      <c r="E35" s="30" t="s">
        <v>225</v>
      </c>
      <c r="F35" s="31" t="s">
        <v>226</v>
      </c>
      <c r="G35" s="32" t="n">
        <v>120</v>
      </c>
      <c r="H35" s="33" t="s">
        <v>127</v>
      </c>
    </row>
    <row r="36" customFormat="false" ht="15" hidden="false" customHeight="true" outlineLevel="0" collapsed="false">
      <c r="A36" s="29" t="n">
        <v>35</v>
      </c>
      <c r="B36" s="30" t="s">
        <v>227</v>
      </c>
      <c r="C36" s="30" t="s">
        <v>36</v>
      </c>
      <c r="D36" s="30" t="s">
        <v>107</v>
      </c>
      <c r="E36" s="31" t="s">
        <v>228</v>
      </c>
      <c r="F36" s="31" t="s">
        <v>229</v>
      </c>
      <c r="G36" s="32" t="n">
        <v>120</v>
      </c>
      <c r="H36" s="33" t="s">
        <v>127</v>
      </c>
    </row>
    <row r="37" customFormat="false" ht="15" hidden="false" customHeight="true" outlineLevel="0" collapsed="false">
      <c r="A37" s="29" t="n">
        <v>36</v>
      </c>
      <c r="B37" s="30" t="s">
        <v>230</v>
      </c>
      <c r="C37" s="30" t="s">
        <v>36</v>
      </c>
      <c r="D37" s="30" t="s">
        <v>107</v>
      </c>
      <c r="E37" s="31" t="s">
        <v>231</v>
      </c>
      <c r="F37" s="31" t="s">
        <v>232</v>
      </c>
      <c r="G37" s="32" t="n">
        <v>120</v>
      </c>
      <c r="H37" s="33" t="s">
        <v>127</v>
      </c>
    </row>
    <row r="38" customFormat="false" ht="15" hidden="false" customHeight="true" outlineLevel="0" collapsed="false">
      <c r="A38" s="34" t="n">
        <v>37</v>
      </c>
      <c r="B38" s="35" t="s">
        <v>233</v>
      </c>
      <c r="C38" s="35" t="s">
        <v>37</v>
      </c>
      <c r="D38" s="35" t="s">
        <v>107</v>
      </c>
      <c r="E38" s="36" t="s">
        <v>234</v>
      </c>
      <c r="F38" s="35" t="s">
        <v>235</v>
      </c>
      <c r="G38" s="37" t="n">
        <v>120</v>
      </c>
      <c r="H38" s="38" t="s">
        <v>127</v>
      </c>
    </row>
    <row r="39" customFormat="false" ht="15" hidden="false" customHeight="true" outlineLevel="0" collapsed="false">
      <c r="A39" s="34" t="n">
        <v>38</v>
      </c>
      <c r="B39" s="35" t="s">
        <v>236</v>
      </c>
      <c r="C39" s="35" t="s">
        <v>37</v>
      </c>
      <c r="D39" s="35" t="s">
        <v>107</v>
      </c>
      <c r="E39" s="36" t="s">
        <v>237</v>
      </c>
      <c r="F39" s="36" t="s">
        <v>238</v>
      </c>
      <c r="G39" s="37" t="n">
        <v>120</v>
      </c>
      <c r="H39" s="38" t="s">
        <v>127</v>
      </c>
    </row>
    <row r="40" customFormat="false" ht="15" hidden="false" customHeight="true" outlineLevel="0" collapsed="false">
      <c r="A40" s="34" t="n">
        <v>39</v>
      </c>
      <c r="B40" s="35" t="s">
        <v>239</v>
      </c>
      <c r="C40" s="35" t="s">
        <v>37</v>
      </c>
      <c r="D40" s="35" t="s">
        <v>107</v>
      </c>
      <c r="E40" s="36" t="s">
        <v>240</v>
      </c>
      <c r="F40" s="36" t="s">
        <v>241</v>
      </c>
      <c r="G40" s="37" t="n">
        <v>120</v>
      </c>
      <c r="H40" s="38" t="s">
        <v>127</v>
      </c>
    </row>
    <row r="41" customFormat="false" ht="15" hidden="false" customHeight="true" outlineLevel="0" collapsed="false">
      <c r="A41" s="34" t="n">
        <v>40</v>
      </c>
      <c r="B41" s="35" t="s">
        <v>242</v>
      </c>
      <c r="C41" s="35" t="s">
        <v>37</v>
      </c>
      <c r="D41" s="35" t="s">
        <v>107</v>
      </c>
      <c r="E41" s="36" t="s">
        <v>243</v>
      </c>
      <c r="F41" s="36" t="s">
        <v>244</v>
      </c>
      <c r="G41" s="37" t="n">
        <v>120</v>
      </c>
      <c r="H41" s="38" t="s">
        <v>127</v>
      </c>
    </row>
    <row r="42" customFormat="false" ht="15" hidden="false" customHeight="true" outlineLevel="0" collapsed="false">
      <c r="A42" s="34" t="n">
        <v>41</v>
      </c>
      <c r="B42" s="35" t="s">
        <v>245</v>
      </c>
      <c r="C42" s="35" t="s">
        <v>37</v>
      </c>
      <c r="D42" s="35" t="s">
        <v>107</v>
      </c>
      <c r="E42" s="36" t="s">
        <v>246</v>
      </c>
      <c r="F42" s="36" t="s">
        <v>247</v>
      </c>
      <c r="G42" s="37" t="n">
        <v>120</v>
      </c>
      <c r="H42" s="38" t="s">
        <v>127</v>
      </c>
    </row>
    <row r="43" customFormat="false" ht="15" hidden="false" customHeight="true" outlineLevel="0" collapsed="false">
      <c r="A43" s="34" t="n">
        <v>42</v>
      </c>
      <c r="B43" s="35" t="s">
        <v>248</v>
      </c>
      <c r="C43" s="35" t="s">
        <v>37</v>
      </c>
      <c r="D43" s="35" t="s">
        <v>107</v>
      </c>
      <c r="E43" s="36" t="s">
        <v>249</v>
      </c>
      <c r="F43" s="36" t="s">
        <v>250</v>
      </c>
      <c r="G43" s="37" t="n">
        <v>120</v>
      </c>
      <c r="H43" s="38" t="s">
        <v>127</v>
      </c>
    </row>
    <row r="44" customFormat="false" ht="15" hidden="false" customHeight="true" outlineLevel="0" collapsed="false">
      <c r="A44" s="34" t="n">
        <v>43</v>
      </c>
      <c r="B44" s="35" t="s">
        <v>251</v>
      </c>
      <c r="C44" s="35" t="s">
        <v>37</v>
      </c>
      <c r="D44" s="35" t="s">
        <v>107</v>
      </c>
      <c r="E44" s="36" t="s">
        <v>252</v>
      </c>
      <c r="F44" s="36" t="s">
        <v>253</v>
      </c>
      <c r="G44" s="37" t="n">
        <v>120</v>
      </c>
      <c r="H44" s="38" t="s">
        <v>127</v>
      </c>
    </row>
    <row r="45" customFormat="false" ht="15" hidden="false" customHeight="true" outlineLevel="0" collapsed="false">
      <c r="A45" s="34" t="n">
        <v>44</v>
      </c>
      <c r="B45" s="35" t="s">
        <v>254</v>
      </c>
      <c r="C45" s="35" t="s">
        <v>37</v>
      </c>
      <c r="D45" s="35" t="s">
        <v>107</v>
      </c>
      <c r="E45" s="36" t="s">
        <v>255</v>
      </c>
      <c r="F45" s="36" t="s">
        <v>256</v>
      </c>
      <c r="G45" s="37" t="n">
        <v>120</v>
      </c>
      <c r="H45" s="38" t="s">
        <v>127</v>
      </c>
    </row>
    <row r="46" customFormat="false" ht="15" hidden="false" customHeight="true" outlineLevel="0" collapsed="false">
      <c r="A46" s="34" t="n">
        <v>45</v>
      </c>
      <c r="B46" s="35" t="s">
        <v>257</v>
      </c>
      <c r="C46" s="35" t="s">
        <v>37</v>
      </c>
      <c r="D46" s="35" t="s">
        <v>107</v>
      </c>
      <c r="E46" s="36" t="s">
        <v>258</v>
      </c>
      <c r="F46" s="36" t="s">
        <v>259</v>
      </c>
      <c r="G46" s="37" t="n">
        <v>120</v>
      </c>
      <c r="H46" s="38" t="s">
        <v>127</v>
      </c>
    </row>
    <row r="47" customFormat="false" ht="15" hidden="false" customHeight="true" outlineLevel="0" collapsed="false">
      <c r="A47" s="34" t="n">
        <v>46</v>
      </c>
      <c r="B47" s="35" t="s">
        <v>260</v>
      </c>
      <c r="C47" s="35" t="s">
        <v>37</v>
      </c>
      <c r="D47" s="35" t="s">
        <v>107</v>
      </c>
      <c r="E47" s="36" t="s">
        <v>261</v>
      </c>
      <c r="F47" s="36" t="s">
        <v>262</v>
      </c>
      <c r="G47" s="37" t="n">
        <v>120</v>
      </c>
      <c r="H47" s="38" t="s">
        <v>127</v>
      </c>
    </row>
    <row r="48" customFormat="false" ht="15" hidden="false" customHeight="true" outlineLevel="0" collapsed="false">
      <c r="A48" s="34" t="n">
        <v>47</v>
      </c>
      <c r="B48" s="35" t="s">
        <v>263</v>
      </c>
      <c r="C48" s="35" t="s">
        <v>37</v>
      </c>
      <c r="D48" s="35" t="s">
        <v>107</v>
      </c>
      <c r="E48" s="36" t="s">
        <v>264</v>
      </c>
      <c r="F48" s="36" t="s">
        <v>265</v>
      </c>
      <c r="G48" s="37" t="n">
        <v>120</v>
      </c>
      <c r="H48" s="38" t="s">
        <v>127</v>
      </c>
    </row>
    <row r="49" customFormat="false" ht="15" hidden="false" customHeight="true" outlineLevel="0" collapsed="false">
      <c r="A49" s="34" t="n">
        <v>48</v>
      </c>
      <c r="B49" s="35" t="s">
        <v>266</v>
      </c>
      <c r="C49" s="35" t="s">
        <v>37</v>
      </c>
      <c r="D49" s="35" t="s">
        <v>107</v>
      </c>
      <c r="E49" s="36" t="s">
        <v>267</v>
      </c>
      <c r="F49" s="36" t="s">
        <v>268</v>
      </c>
      <c r="G49" s="37" t="n">
        <v>120</v>
      </c>
      <c r="H49" s="38" t="s">
        <v>127</v>
      </c>
    </row>
    <row r="50" customFormat="false" ht="15" hidden="false" customHeight="true" outlineLevel="0" collapsed="false">
      <c r="A50" s="34" t="n">
        <v>49</v>
      </c>
      <c r="B50" s="35" t="s">
        <v>269</v>
      </c>
      <c r="C50" s="35" t="s">
        <v>37</v>
      </c>
      <c r="D50" s="35" t="s">
        <v>107</v>
      </c>
      <c r="E50" s="35" t="s">
        <v>270</v>
      </c>
      <c r="F50" s="36" t="s">
        <v>271</v>
      </c>
      <c r="G50" s="37" t="n">
        <v>120</v>
      </c>
      <c r="H50" s="38" t="s">
        <v>127</v>
      </c>
    </row>
    <row r="51" customFormat="false" ht="15" hidden="false" customHeight="true" outlineLevel="0" collapsed="false">
      <c r="A51" s="34" t="n">
        <v>50</v>
      </c>
      <c r="B51" s="35" t="s">
        <v>272</v>
      </c>
      <c r="C51" s="35" t="s">
        <v>37</v>
      </c>
      <c r="D51" s="35" t="s">
        <v>107</v>
      </c>
      <c r="E51" s="36" t="s">
        <v>273</v>
      </c>
      <c r="F51" s="36" t="s">
        <v>274</v>
      </c>
      <c r="G51" s="37" t="n">
        <v>120</v>
      </c>
      <c r="H51" s="38" t="s">
        <v>127</v>
      </c>
    </row>
    <row r="52" customFormat="false" ht="15" hidden="false" customHeight="true" outlineLevel="0" collapsed="false">
      <c r="A52" s="34" t="n">
        <v>51</v>
      </c>
      <c r="B52" s="35" t="s">
        <v>275</v>
      </c>
      <c r="C52" s="35" t="s">
        <v>37</v>
      </c>
      <c r="D52" s="35" t="s">
        <v>107</v>
      </c>
      <c r="E52" s="36" t="s">
        <v>276</v>
      </c>
      <c r="F52" s="36" t="s">
        <v>277</v>
      </c>
      <c r="G52" s="37" t="n">
        <v>120</v>
      </c>
      <c r="H52" s="38" t="s">
        <v>127</v>
      </c>
    </row>
    <row r="53" customFormat="false" ht="15" hidden="false" customHeight="true" outlineLevel="0" collapsed="false">
      <c r="A53" s="34" t="n">
        <v>52</v>
      </c>
      <c r="B53" s="35" t="s">
        <v>278</v>
      </c>
      <c r="C53" s="35" t="s">
        <v>37</v>
      </c>
      <c r="D53" s="35" t="s">
        <v>107</v>
      </c>
      <c r="E53" s="36" t="s">
        <v>279</v>
      </c>
      <c r="F53" s="36" t="s">
        <v>280</v>
      </c>
      <c r="G53" s="37" t="n">
        <v>120</v>
      </c>
      <c r="H53" s="38" t="s">
        <v>127</v>
      </c>
    </row>
    <row r="54" customFormat="false" ht="15" hidden="false" customHeight="true" outlineLevel="0" collapsed="false">
      <c r="A54" s="34" t="n">
        <v>53</v>
      </c>
      <c r="B54" s="35" t="s">
        <v>281</v>
      </c>
      <c r="C54" s="35" t="s">
        <v>37</v>
      </c>
      <c r="D54" s="35" t="s">
        <v>107</v>
      </c>
      <c r="E54" s="36" t="s">
        <v>282</v>
      </c>
      <c r="F54" s="36" t="s">
        <v>283</v>
      </c>
      <c r="G54" s="37" t="n">
        <v>120</v>
      </c>
      <c r="H54" s="38" t="s">
        <v>127</v>
      </c>
    </row>
    <row r="55" customFormat="false" ht="15" hidden="false" customHeight="true" outlineLevel="0" collapsed="false">
      <c r="A55" s="34" t="n">
        <v>54</v>
      </c>
      <c r="B55" s="35" t="s">
        <v>284</v>
      </c>
      <c r="C55" s="35" t="s">
        <v>37</v>
      </c>
      <c r="D55" s="35" t="s">
        <v>107</v>
      </c>
      <c r="E55" s="36" t="s">
        <v>285</v>
      </c>
      <c r="F55" s="36" t="s">
        <v>286</v>
      </c>
      <c r="G55" s="37" t="n">
        <v>120</v>
      </c>
      <c r="H55" s="38" t="s">
        <v>127</v>
      </c>
    </row>
    <row r="56" customFormat="false" ht="15" hidden="false" customHeight="true" outlineLevel="0" collapsed="false">
      <c r="A56" s="39" t="n">
        <v>55</v>
      </c>
      <c r="B56" s="40" t="s">
        <v>287</v>
      </c>
      <c r="C56" s="40" t="s">
        <v>38</v>
      </c>
      <c r="D56" s="40" t="s">
        <v>114</v>
      </c>
      <c r="E56" s="40" t="s">
        <v>288</v>
      </c>
      <c r="F56" s="41" t="s">
        <v>289</v>
      </c>
      <c r="G56" s="42" t="n">
        <v>120</v>
      </c>
      <c r="H56" s="43" t="s">
        <v>127</v>
      </c>
    </row>
    <row r="57" customFormat="false" ht="15" hidden="false" customHeight="true" outlineLevel="0" collapsed="false">
      <c r="A57" s="39" t="n">
        <v>56</v>
      </c>
      <c r="B57" s="40" t="s">
        <v>290</v>
      </c>
      <c r="C57" s="40" t="s">
        <v>38</v>
      </c>
      <c r="D57" s="40" t="s">
        <v>114</v>
      </c>
      <c r="E57" s="41" t="s">
        <v>291</v>
      </c>
      <c r="F57" s="41" t="s">
        <v>292</v>
      </c>
      <c r="G57" s="42" t="n">
        <v>120</v>
      </c>
      <c r="H57" s="43" t="s">
        <v>127</v>
      </c>
    </row>
    <row r="58" customFormat="false" ht="15" hidden="false" customHeight="true" outlineLevel="0" collapsed="false">
      <c r="A58" s="39" t="n">
        <v>57</v>
      </c>
      <c r="B58" s="40" t="s">
        <v>293</v>
      </c>
      <c r="C58" s="40" t="s">
        <v>38</v>
      </c>
      <c r="D58" s="40" t="s">
        <v>114</v>
      </c>
      <c r="E58" s="41" t="s">
        <v>294</v>
      </c>
      <c r="F58" s="41" t="s">
        <v>295</v>
      </c>
      <c r="G58" s="42" t="n">
        <v>120</v>
      </c>
      <c r="H58" s="43" t="s">
        <v>127</v>
      </c>
    </row>
    <row r="59" customFormat="false" ht="15" hidden="false" customHeight="true" outlineLevel="0" collapsed="false">
      <c r="A59" s="39" t="n">
        <v>58</v>
      </c>
      <c r="B59" s="40" t="s">
        <v>296</v>
      </c>
      <c r="C59" s="40" t="s">
        <v>38</v>
      </c>
      <c r="D59" s="40" t="s">
        <v>114</v>
      </c>
      <c r="E59" s="41" t="s">
        <v>297</v>
      </c>
      <c r="F59" s="41" t="s">
        <v>298</v>
      </c>
      <c r="G59" s="42" t="n">
        <v>120</v>
      </c>
      <c r="H59" s="43" t="s">
        <v>127</v>
      </c>
    </row>
    <row r="60" customFormat="false" ht="15" hidden="false" customHeight="true" outlineLevel="0" collapsed="false">
      <c r="A60" s="39" t="n">
        <v>59</v>
      </c>
      <c r="B60" s="40" t="s">
        <v>299</v>
      </c>
      <c r="C60" s="40" t="s">
        <v>38</v>
      </c>
      <c r="D60" s="40" t="s">
        <v>114</v>
      </c>
      <c r="E60" s="41" t="s">
        <v>300</v>
      </c>
      <c r="F60" s="41" t="s">
        <v>301</v>
      </c>
      <c r="G60" s="42" t="n">
        <v>120</v>
      </c>
      <c r="H60" s="43" t="s">
        <v>127</v>
      </c>
    </row>
    <row r="61" customFormat="false" ht="15" hidden="false" customHeight="true" outlineLevel="0" collapsed="false">
      <c r="A61" s="39" t="n">
        <v>60</v>
      </c>
      <c r="B61" s="40" t="s">
        <v>302</v>
      </c>
      <c r="C61" s="40" t="s">
        <v>38</v>
      </c>
      <c r="D61" s="40" t="s">
        <v>114</v>
      </c>
      <c r="E61" s="41" t="s">
        <v>303</v>
      </c>
      <c r="F61" s="41" t="s">
        <v>304</v>
      </c>
      <c r="G61" s="42" t="n">
        <v>120</v>
      </c>
      <c r="H61" s="43" t="s">
        <v>127</v>
      </c>
    </row>
    <row r="62" customFormat="false" ht="15" hidden="false" customHeight="true" outlineLevel="0" collapsed="false">
      <c r="A62" s="39" t="n">
        <v>61</v>
      </c>
      <c r="B62" s="40" t="s">
        <v>305</v>
      </c>
      <c r="C62" s="40" t="s">
        <v>38</v>
      </c>
      <c r="D62" s="40" t="s">
        <v>114</v>
      </c>
      <c r="E62" s="41" t="s">
        <v>306</v>
      </c>
      <c r="F62" s="41" t="s">
        <v>307</v>
      </c>
      <c r="G62" s="42" t="n">
        <v>120</v>
      </c>
      <c r="H62" s="43" t="s">
        <v>127</v>
      </c>
    </row>
    <row r="63" customFormat="false" ht="15" hidden="false" customHeight="true" outlineLevel="0" collapsed="false">
      <c r="A63" s="39" t="n">
        <v>62</v>
      </c>
      <c r="B63" s="40" t="s">
        <v>308</v>
      </c>
      <c r="C63" s="40" t="s">
        <v>38</v>
      </c>
      <c r="D63" s="40" t="s">
        <v>114</v>
      </c>
      <c r="E63" s="41" t="s">
        <v>309</v>
      </c>
      <c r="F63" s="41" t="s">
        <v>310</v>
      </c>
      <c r="G63" s="42" t="n">
        <v>120</v>
      </c>
      <c r="H63" s="43" t="s">
        <v>127</v>
      </c>
    </row>
    <row r="64" customFormat="false" ht="15" hidden="false" customHeight="true" outlineLevel="0" collapsed="false">
      <c r="A64" s="39" t="n">
        <v>63</v>
      </c>
      <c r="B64" s="40" t="s">
        <v>311</v>
      </c>
      <c r="C64" s="40" t="s">
        <v>38</v>
      </c>
      <c r="D64" s="40" t="s">
        <v>114</v>
      </c>
      <c r="E64" s="41" t="s">
        <v>312</v>
      </c>
      <c r="F64" s="41" t="s">
        <v>313</v>
      </c>
      <c r="G64" s="42" t="n">
        <v>120</v>
      </c>
      <c r="H64" s="43" t="s">
        <v>127</v>
      </c>
    </row>
    <row r="65" customFormat="false" ht="15" hidden="false" customHeight="true" outlineLevel="0" collapsed="false">
      <c r="A65" s="39" t="n">
        <v>64</v>
      </c>
      <c r="B65" s="40" t="s">
        <v>314</v>
      </c>
      <c r="C65" s="40" t="s">
        <v>38</v>
      </c>
      <c r="D65" s="40" t="s">
        <v>114</v>
      </c>
      <c r="E65" s="41" t="s">
        <v>315</v>
      </c>
      <c r="F65" s="41" t="s">
        <v>316</v>
      </c>
      <c r="G65" s="42" t="n">
        <v>120</v>
      </c>
      <c r="H65" s="43" t="s">
        <v>127</v>
      </c>
    </row>
    <row r="66" customFormat="false" ht="15" hidden="false" customHeight="true" outlineLevel="0" collapsed="false">
      <c r="A66" s="39" t="n">
        <v>65</v>
      </c>
      <c r="B66" s="40" t="s">
        <v>317</v>
      </c>
      <c r="C66" s="40" t="s">
        <v>38</v>
      </c>
      <c r="D66" s="40" t="s">
        <v>114</v>
      </c>
      <c r="E66" s="41" t="s">
        <v>318</v>
      </c>
      <c r="F66" s="41" t="s">
        <v>319</v>
      </c>
      <c r="G66" s="42" t="n">
        <v>120</v>
      </c>
      <c r="H66" s="43" t="s">
        <v>127</v>
      </c>
    </row>
    <row r="67" customFormat="false" ht="15" hidden="false" customHeight="true" outlineLevel="0" collapsed="false">
      <c r="A67" s="39" t="n">
        <v>66</v>
      </c>
      <c r="B67" s="40" t="s">
        <v>320</v>
      </c>
      <c r="C67" s="40" t="s">
        <v>38</v>
      </c>
      <c r="D67" s="40" t="s">
        <v>114</v>
      </c>
      <c r="E67" s="41" t="s">
        <v>321</v>
      </c>
      <c r="F67" s="41" t="s">
        <v>322</v>
      </c>
      <c r="G67" s="42" t="n">
        <v>120</v>
      </c>
      <c r="H67" s="43" t="s">
        <v>127</v>
      </c>
    </row>
    <row r="68" customFormat="false" ht="15" hidden="false" customHeight="true" outlineLevel="0" collapsed="false">
      <c r="A68" s="39" t="n">
        <v>67</v>
      </c>
      <c r="B68" s="40" t="s">
        <v>323</v>
      </c>
      <c r="C68" s="40" t="s">
        <v>38</v>
      </c>
      <c r="D68" s="40" t="s">
        <v>114</v>
      </c>
      <c r="E68" s="41" t="s">
        <v>324</v>
      </c>
      <c r="F68" s="41" t="s">
        <v>325</v>
      </c>
      <c r="G68" s="42" t="n">
        <v>120</v>
      </c>
      <c r="H68" s="43" t="s">
        <v>127</v>
      </c>
    </row>
    <row r="69" customFormat="false" ht="15" hidden="false" customHeight="true" outlineLevel="0" collapsed="false">
      <c r="A69" s="39" t="n">
        <v>68</v>
      </c>
      <c r="B69" s="40" t="s">
        <v>326</v>
      </c>
      <c r="C69" s="40" t="s">
        <v>38</v>
      </c>
      <c r="D69" s="40" t="s">
        <v>114</v>
      </c>
      <c r="E69" s="41" t="s">
        <v>327</v>
      </c>
      <c r="F69" s="41" t="s">
        <v>328</v>
      </c>
      <c r="G69" s="42" t="n">
        <v>120</v>
      </c>
      <c r="H69" s="43" t="s">
        <v>127</v>
      </c>
    </row>
    <row r="70" customFormat="false" ht="15" hidden="false" customHeight="true" outlineLevel="0" collapsed="false">
      <c r="A70" s="39" t="n">
        <v>69</v>
      </c>
      <c r="B70" s="40" t="s">
        <v>329</v>
      </c>
      <c r="C70" s="40" t="s">
        <v>38</v>
      </c>
      <c r="D70" s="40" t="s">
        <v>114</v>
      </c>
      <c r="E70" s="41" t="s">
        <v>330</v>
      </c>
      <c r="F70" s="41" t="s">
        <v>331</v>
      </c>
      <c r="G70" s="42" t="n">
        <v>120</v>
      </c>
      <c r="H70" s="43" t="s">
        <v>127</v>
      </c>
    </row>
    <row r="71" customFormat="false" ht="15" hidden="false" customHeight="true" outlineLevel="0" collapsed="false">
      <c r="A71" s="39" t="n">
        <v>70</v>
      </c>
      <c r="B71" s="40" t="s">
        <v>332</v>
      </c>
      <c r="C71" s="40" t="s">
        <v>38</v>
      </c>
      <c r="D71" s="40" t="s">
        <v>114</v>
      </c>
      <c r="E71" s="41" t="s">
        <v>333</v>
      </c>
      <c r="F71" s="41" t="s">
        <v>334</v>
      </c>
      <c r="G71" s="42" t="n">
        <v>120</v>
      </c>
      <c r="H71" s="43" t="s">
        <v>127</v>
      </c>
    </row>
    <row r="72" customFormat="false" ht="15" hidden="false" customHeight="true" outlineLevel="0" collapsed="false">
      <c r="A72" s="39" t="n">
        <v>71</v>
      </c>
      <c r="B72" s="40" t="s">
        <v>335</v>
      </c>
      <c r="C72" s="40" t="s">
        <v>38</v>
      </c>
      <c r="D72" s="40" t="s">
        <v>114</v>
      </c>
      <c r="E72" s="41" t="s">
        <v>336</v>
      </c>
      <c r="F72" s="41" t="s">
        <v>337</v>
      </c>
      <c r="G72" s="42" t="n">
        <v>120</v>
      </c>
      <c r="H72" s="43" t="s">
        <v>127</v>
      </c>
    </row>
    <row r="73" customFormat="false" ht="15" hidden="false" customHeight="true" outlineLevel="0" collapsed="false">
      <c r="A73" s="39" t="n">
        <v>72</v>
      </c>
      <c r="B73" s="40" t="s">
        <v>338</v>
      </c>
      <c r="C73" s="40" t="s">
        <v>38</v>
      </c>
      <c r="D73" s="40" t="s">
        <v>114</v>
      </c>
      <c r="E73" s="41" t="s">
        <v>339</v>
      </c>
      <c r="F73" s="41" t="s">
        <v>340</v>
      </c>
      <c r="G73" s="42" t="n">
        <v>120</v>
      </c>
      <c r="H73" s="43" t="s">
        <v>127</v>
      </c>
    </row>
    <row r="74" customFormat="false" ht="15" hidden="false" customHeight="true" outlineLevel="0" collapsed="false">
      <c r="A74" s="44" t="n">
        <v>73</v>
      </c>
      <c r="B74" s="45" t="s">
        <v>341</v>
      </c>
      <c r="C74" s="45" t="s">
        <v>39</v>
      </c>
      <c r="D74" s="45" t="s">
        <v>114</v>
      </c>
      <c r="E74" s="46" t="s">
        <v>342</v>
      </c>
      <c r="F74" s="46" t="s">
        <v>343</v>
      </c>
      <c r="G74" s="47" t="n">
        <v>120</v>
      </c>
      <c r="H74" s="48" t="s">
        <v>127</v>
      </c>
    </row>
    <row r="75" customFormat="false" ht="15" hidden="false" customHeight="true" outlineLevel="0" collapsed="false">
      <c r="A75" s="44" t="n">
        <v>74</v>
      </c>
      <c r="B75" s="45" t="s">
        <v>344</v>
      </c>
      <c r="C75" s="45" t="s">
        <v>39</v>
      </c>
      <c r="D75" s="45" t="s">
        <v>114</v>
      </c>
      <c r="E75" s="46" t="s">
        <v>345</v>
      </c>
      <c r="F75" s="46" t="s">
        <v>346</v>
      </c>
      <c r="G75" s="47" t="n">
        <v>120</v>
      </c>
      <c r="H75" s="48" t="s">
        <v>127</v>
      </c>
    </row>
    <row r="76" customFormat="false" ht="15" hidden="false" customHeight="true" outlineLevel="0" collapsed="false">
      <c r="A76" s="44" t="n">
        <v>75</v>
      </c>
      <c r="B76" s="45" t="s">
        <v>347</v>
      </c>
      <c r="C76" s="45" t="s">
        <v>39</v>
      </c>
      <c r="D76" s="45" t="s">
        <v>114</v>
      </c>
      <c r="E76" s="46" t="s">
        <v>348</v>
      </c>
      <c r="F76" s="46" t="s">
        <v>349</v>
      </c>
      <c r="G76" s="47" t="n">
        <v>120</v>
      </c>
      <c r="H76" s="48" t="s">
        <v>127</v>
      </c>
    </row>
    <row r="77" customFormat="false" ht="15" hidden="false" customHeight="true" outlineLevel="0" collapsed="false">
      <c r="A77" s="44" t="n">
        <v>76</v>
      </c>
      <c r="B77" s="45" t="s">
        <v>350</v>
      </c>
      <c r="C77" s="45" t="s">
        <v>39</v>
      </c>
      <c r="D77" s="45" t="s">
        <v>114</v>
      </c>
      <c r="E77" s="46" t="s">
        <v>351</v>
      </c>
      <c r="F77" s="46" t="s">
        <v>352</v>
      </c>
      <c r="G77" s="47" t="n">
        <v>120</v>
      </c>
      <c r="H77" s="48" t="s">
        <v>127</v>
      </c>
    </row>
    <row r="78" customFormat="false" ht="15" hidden="false" customHeight="true" outlineLevel="0" collapsed="false">
      <c r="A78" s="44" t="n">
        <v>77</v>
      </c>
      <c r="B78" s="45" t="s">
        <v>353</v>
      </c>
      <c r="C78" s="45" t="s">
        <v>39</v>
      </c>
      <c r="D78" s="45" t="s">
        <v>114</v>
      </c>
      <c r="E78" s="46" t="s">
        <v>354</v>
      </c>
      <c r="F78" s="46" t="s">
        <v>355</v>
      </c>
      <c r="G78" s="47" t="n">
        <v>120</v>
      </c>
      <c r="H78" s="48" t="s">
        <v>127</v>
      </c>
    </row>
    <row r="79" customFormat="false" ht="15" hidden="false" customHeight="true" outlineLevel="0" collapsed="false">
      <c r="A79" s="44" t="n">
        <v>78</v>
      </c>
      <c r="B79" s="45" t="s">
        <v>356</v>
      </c>
      <c r="C79" s="45" t="s">
        <v>39</v>
      </c>
      <c r="D79" s="45" t="s">
        <v>114</v>
      </c>
      <c r="E79" s="46" t="s">
        <v>357</v>
      </c>
      <c r="F79" s="46" t="s">
        <v>358</v>
      </c>
      <c r="G79" s="47" t="n">
        <v>120</v>
      </c>
      <c r="H79" s="48" t="s">
        <v>127</v>
      </c>
    </row>
    <row r="80" customFormat="false" ht="15" hidden="false" customHeight="true" outlineLevel="0" collapsed="false">
      <c r="A80" s="44" t="n">
        <v>79</v>
      </c>
      <c r="B80" s="45" t="s">
        <v>359</v>
      </c>
      <c r="C80" s="45" t="s">
        <v>39</v>
      </c>
      <c r="D80" s="45" t="s">
        <v>114</v>
      </c>
      <c r="E80" s="46" t="s">
        <v>360</v>
      </c>
      <c r="F80" s="46" t="s">
        <v>361</v>
      </c>
      <c r="G80" s="47" t="n">
        <v>120</v>
      </c>
      <c r="H80" s="48" t="s">
        <v>127</v>
      </c>
    </row>
    <row r="81" customFormat="false" ht="15" hidden="false" customHeight="true" outlineLevel="0" collapsed="false">
      <c r="A81" s="44" t="n">
        <v>80</v>
      </c>
      <c r="B81" s="45" t="s">
        <v>362</v>
      </c>
      <c r="C81" s="45" t="s">
        <v>39</v>
      </c>
      <c r="D81" s="45" t="s">
        <v>114</v>
      </c>
      <c r="E81" s="46" t="s">
        <v>363</v>
      </c>
      <c r="F81" s="46" t="s">
        <v>364</v>
      </c>
      <c r="G81" s="47" t="n">
        <v>120</v>
      </c>
      <c r="H81" s="48" t="s">
        <v>127</v>
      </c>
    </row>
    <row r="82" customFormat="false" ht="15" hidden="false" customHeight="true" outlineLevel="0" collapsed="false">
      <c r="A82" s="44" t="n">
        <v>81</v>
      </c>
      <c r="B82" s="45" t="s">
        <v>365</v>
      </c>
      <c r="C82" s="45" t="s">
        <v>39</v>
      </c>
      <c r="D82" s="45" t="s">
        <v>114</v>
      </c>
      <c r="E82" s="46" t="s">
        <v>366</v>
      </c>
      <c r="F82" s="46" t="s">
        <v>367</v>
      </c>
      <c r="G82" s="47" t="n">
        <v>120</v>
      </c>
      <c r="H82" s="48" t="s">
        <v>127</v>
      </c>
    </row>
    <row r="83" customFormat="false" ht="15" hidden="false" customHeight="true" outlineLevel="0" collapsed="false">
      <c r="A83" s="44" t="n">
        <v>82</v>
      </c>
      <c r="B83" s="45" t="s">
        <v>368</v>
      </c>
      <c r="C83" s="45" t="s">
        <v>39</v>
      </c>
      <c r="D83" s="45" t="s">
        <v>114</v>
      </c>
      <c r="E83" s="46" t="s">
        <v>369</v>
      </c>
      <c r="F83" s="46" t="s">
        <v>370</v>
      </c>
      <c r="G83" s="47" t="n">
        <v>120</v>
      </c>
      <c r="H83" s="48" t="s">
        <v>127</v>
      </c>
    </row>
    <row r="84" customFormat="false" ht="15" hidden="false" customHeight="true" outlineLevel="0" collapsed="false">
      <c r="A84" s="44" t="n">
        <v>83</v>
      </c>
      <c r="B84" s="45" t="s">
        <v>371</v>
      </c>
      <c r="C84" s="45" t="s">
        <v>39</v>
      </c>
      <c r="D84" s="45" t="s">
        <v>114</v>
      </c>
      <c r="E84" s="46" t="s">
        <v>372</v>
      </c>
      <c r="F84" s="46" t="s">
        <v>373</v>
      </c>
      <c r="G84" s="47" t="n">
        <v>120</v>
      </c>
      <c r="H84" s="48" t="s">
        <v>127</v>
      </c>
    </row>
    <row r="85" customFormat="false" ht="15" hidden="false" customHeight="true" outlineLevel="0" collapsed="false">
      <c r="A85" s="44" t="n">
        <v>84</v>
      </c>
      <c r="B85" s="45" t="s">
        <v>158</v>
      </c>
      <c r="C85" s="45" t="s">
        <v>39</v>
      </c>
      <c r="D85" s="45" t="s">
        <v>114</v>
      </c>
      <c r="E85" s="46" t="s">
        <v>374</v>
      </c>
      <c r="F85" s="45" t="s">
        <v>375</v>
      </c>
      <c r="G85" s="47" t="n">
        <v>120</v>
      </c>
      <c r="H85" s="48" t="s">
        <v>127</v>
      </c>
    </row>
    <row r="86" customFormat="false" ht="15" hidden="false" customHeight="true" outlineLevel="0" collapsed="false">
      <c r="A86" s="44" t="n">
        <v>85</v>
      </c>
      <c r="B86" s="45" t="s">
        <v>161</v>
      </c>
      <c r="C86" s="45" t="s">
        <v>39</v>
      </c>
      <c r="D86" s="45" t="s">
        <v>114</v>
      </c>
      <c r="E86" s="46" t="s">
        <v>376</v>
      </c>
      <c r="F86" s="46" t="s">
        <v>377</v>
      </c>
      <c r="G86" s="47" t="n">
        <v>120</v>
      </c>
      <c r="H86" s="48" t="s">
        <v>127</v>
      </c>
    </row>
    <row r="87" customFormat="false" ht="15" hidden="false" customHeight="true" outlineLevel="0" collapsed="false">
      <c r="A87" s="44" t="n">
        <v>86</v>
      </c>
      <c r="B87" s="45" t="s">
        <v>378</v>
      </c>
      <c r="C87" s="45" t="s">
        <v>39</v>
      </c>
      <c r="D87" s="45" t="s">
        <v>114</v>
      </c>
      <c r="E87" s="46" t="s">
        <v>379</v>
      </c>
      <c r="F87" s="46" t="s">
        <v>380</v>
      </c>
      <c r="G87" s="47" t="n">
        <v>120</v>
      </c>
      <c r="H87" s="48" t="s">
        <v>127</v>
      </c>
    </row>
    <row r="88" customFormat="false" ht="15" hidden="false" customHeight="true" outlineLevel="0" collapsed="false">
      <c r="A88" s="44" t="n">
        <v>87</v>
      </c>
      <c r="B88" s="45" t="s">
        <v>381</v>
      </c>
      <c r="C88" s="45" t="s">
        <v>39</v>
      </c>
      <c r="D88" s="45" t="s">
        <v>114</v>
      </c>
      <c r="E88" s="46" t="s">
        <v>382</v>
      </c>
      <c r="F88" s="46" t="s">
        <v>383</v>
      </c>
      <c r="G88" s="47" t="n">
        <v>120</v>
      </c>
      <c r="H88" s="48" t="s">
        <v>127</v>
      </c>
    </row>
    <row r="89" customFormat="false" ht="15" hidden="false" customHeight="true" outlineLevel="0" collapsed="false">
      <c r="A89" s="44" t="n">
        <v>88</v>
      </c>
      <c r="B89" s="45" t="s">
        <v>384</v>
      </c>
      <c r="C89" s="45" t="s">
        <v>39</v>
      </c>
      <c r="D89" s="45" t="s">
        <v>114</v>
      </c>
      <c r="E89" s="45" t="s">
        <v>385</v>
      </c>
      <c r="F89" s="46" t="s">
        <v>386</v>
      </c>
      <c r="G89" s="47" t="n">
        <v>120</v>
      </c>
      <c r="H89" s="48" t="s">
        <v>127</v>
      </c>
    </row>
    <row r="90" customFormat="false" ht="15" hidden="false" customHeight="true" outlineLevel="0" collapsed="false">
      <c r="A90" s="44" t="n">
        <v>89</v>
      </c>
      <c r="B90" s="45" t="s">
        <v>387</v>
      </c>
      <c r="C90" s="45" t="s">
        <v>39</v>
      </c>
      <c r="D90" s="45" t="s">
        <v>114</v>
      </c>
      <c r="E90" s="46" t="s">
        <v>388</v>
      </c>
      <c r="F90" s="46" t="s">
        <v>389</v>
      </c>
      <c r="G90" s="47" t="n">
        <v>120</v>
      </c>
      <c r="H90" s="48" t="s">
        <v>127</v>
      </c>
    </row>
    <row r="91" customFormat="false" ht="15" hidden="false" customHeight="true" outlineLevel="0" collapsed="false">
      <c r="A91" s="44" t="n">
        <v>90</v>
      </c>
      <c r="B91" s="45" t="s">
        <v>124</v>
      </c>
      <c r="C91" s="45" t="s">
        <v>39</v>
      </c>
      <c r="D91" s="45" t="s">
        <v>114</v>
      </c>
      <c r="E91" s="46" t="s">
        <v>390</v>
      </c>
      <c r="F91" s="45" t="s">
        <v>391</v>
      </c>
      <c r="G91" s="47" t="n">
        <v>120</v>
      </c>
      <c r="H91" s="48" t="s">
        <v>127</v>
      </c>
    </row>
  </sheetData>
  <autoFilter ref="A1:H91"/>
  <dataValidations count="1">
    <dataValidation allowBlank="false" errorStyle="stop" operator="between" showDropDown="false" showErrorMessage="false" showInputMessage="false" sqref="H2:H91" type="list">
      <formula1>"미작성,작성중,초고완료,검수완료"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4" t="s">
        <v>2</v>
      </c>
      <c r="B1" s="4" t="s">
        <v>392</v>
      </c>
    </row>
    <row r="2" customFormat="false" ht="15" hidden="false" customHeight="true" outlineLevel="0" collapsed="false">
      <c r="A2" s="5" t="s">
        <v>393</v>
      </c>
      <c r="B2" s="5" t="s">
        <v>394</v>
      </c>
    </row>
    <row r="3" customFormat="false" ht="15" hidden="false" customHeight="true" outlineLevel="0" collapsed="false">
      <c r="A3" s="5" t="s">
        <v>395</v>
      </c>
      <c r="B3" s="5" t="s">
        <v>396</v>
      </c>
    </row>
    <row r="4" customFormat="false" ht="15" hidden="false" customHeight="true" outlineLevel="0" collapsed="false">
      <c r="A4" s="5" t="s">
        <v>397</v>
      </c>
      <c r="B4" s="6" t="s">
        <v>398</v>
      </c>
    </row>
    <row r="5" customFormat="false" ht="15" hidden="false" customHeight="true" outlineLevel="0" collapsed="false">
      <c r="A5" s="5" t="s">
        <v>399</v>
      </c>
      <c r="B5" s="5" t="s">
        <v>400</v>
      </c>
    </row>
    <row r="6" customFormat="false" ht="15" hidden="false" customHeight="true" outlineLevel="0" collapsed="false">
      <c r="A6" s="5" t="s">
        <v>401</v>
      </c>
      <c r="B6" s="5" t="s">
        <v>402</v>
      </c>
    </row>
    <row r="7" customFormat="false" ht="26.25" hidden="false" customHeight="true" outlineLevel="0" collapsed="false">
      <c r="A7" s="5" t="s">
        <v>403</v>
      </c>
      <c r="B7" s="5" t="s">
        <v>404</v>
      </c>
    </row>
    <row r="8" customFormat="false" ht="15" hidden="false" customHeight="true" outlineLevel="0" collapsed="false">
      <c r="A8" s="5" t="s">
        <v>405</v>
      </c>
      <c r="B8" s="6" t="s">
        <v>406</v>
      </c>
    </row>
    <row r="9" customFormat="false" ht="15" hidden="false" customHeight="true" outlineLevel="0" collapsed="false">
      <c r="A9" s="5" t="s">
        <v>407</v>
      </c>
      <c r="B9" s="5" t="s">
        <v>408</v>
      </c>
    </row>
    <row r="10" customFormat="false" ht="15" hidden="false" customHeight="true" outlineLevel="0" collapsed="false">
      <c r="A10" s="5" t="s">
        <v>409</v>
      </c>
      <c r="B10" s="5" t="s">
        <v>410</v>
      </c>
    </row>
    <row r="11" customFormat="false" ht="15" hidden="false" customHeight="true" outlineLevel="0" collapsed="false">
      <c r="A11" s="5" t="s">
        <v>411</v>
      </c>
      <c r="B11" s="5" t="s">
        <v>412</v>
      </c>
    </row>
    <row r="12" customFormat="false" ht="26.25" hidden="false" customHeight="true" outlineLevel="0" collapsed="false">
      <c r="A12" s="5" t="s">
        <v>413</v>
      </c>
      <c r="B12" s="5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4" t="s">
        <v>31</v>
      </c>
      <c r="B1" s="4" t="s">
        <v>415</v>
      </c>
    </row>
    <row r="2" customFormat="false" ht="15" hidden="false" customHeight="true" outlineLevel="0" collapsed="false">
      <c r="A2" s="6" t="s">
        <v>416</v>
      </c>
      <c r="B2" s="5" t="s">
        <v>417</v>
      </c>
    </row>
    <row r="3" customFormat="false" ht="15" hidden="false" customHeight="true" outlineLevel="0" collapsed="false">
      <c r="A3" s="6" t="s">
        <v>418</v>
      </c>
      <c r="B3" s="5" t="s">
        <v>419</v>
      </c>
    </row>
    <row r="4" customFormat="false" ht="15" hidden="false" customHeight="true" outlineLevel="0" collapsed="false">
      <c r="A4" s="6" t="s">
        <v>420</v>
      </c>
      <c r="B4" s="5" t="s">
        <v>421</v>
      </c>
    </row>
    <row r="5" customFormat="false" ht="15" hidden="false" customHeight="true" outlineLevel="0" collapsed="false">
      <c r="A5" s="6" t="s">
        <v>422</v>
      </c>
      <c r="B5" s="5" t="s">
        <v>423</v>
      </c>
    </row>
    <row r="6" customFormat="false" ht="15" hidden="false" customHeight="true" outlineLevel="0" collapsed="false">
      <c r="A6" s="6" t="s">
        <v>424</v>
      </c>
      <c r="B6" s="5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4"/>
  </cols>
  <sheetData>
    <row r="1" customFormat="false" ht="15" hidden="false" customHeight="true" outlineLevel="0" collapsed="false">
      <c r="A1" s="4" t="s">
        <v>426</v>
      </c>
      <c r="B1" s="4" t="s">
        <v>427</v>
      </c>
      <c r="C1" s="4" t="s">
        <v>428</v>
      </c>
    </row>
    <row r="2" customFormat="false" ht="15" hidden="false" customHeight="true" outlineLevel="0" collapsed="false">
      <c r="A2" s="5" t="s">
        <v>429</v>
      </c>
      <c r="B2" s="6" t="s">
        <v>430</v>
      </c>
      <c r="C2" s="5" t="s">
        <v>431</v>
      </c>
    </row>
    <row r="3" customFormat="false" ht="15" hidden="false" customHeight="true" outlineLevel="0" collapsed="false">
      <c r="A3" s="5" t="s">
        <v>432</v>
      </c>
      <c r="B3" s="6" t="s">
        <v>433</v>
      </c>
      <c r="C3" s="5" t="s">
        <v>434</v>
      </c>
    </row>
    <row r="4" customFormat="false" ht="15" hidden="false" customHeight="true" outlineLevel="0" collapsed="false">
      <c r="A4" s="5" t="s">
        <v>435</v>
      </c>
      <c r="B4" s="6" t="s">
        <v>436</v>
      </c>
      <c r="C4" s="5" t="s">
        <v>437</v>
      </c>
    </row>
    <row r="5" customFormat="false" ht="15" hidden="false" customHeight="true" outlineLevel="0" collapsed="false">
      <c r="A5" s="5" t="s">
        <v>438</v>
      </c>
      <c r="B5" s="6" t="s">
        <v>439</v>
      </c>
      <c r="C5" s="5" t="s">
        <v>440</v>
      </c>
    </row>
    <row r="6" customFormat="false" ht="15" hidden="false" customHeight="true" outlineLevel="0" collapsed="false">
      <c r="A6" s="5" t="s">
        <v>441</v>
      </c>
      <c r="B6" s="6" t="s">
        <v>442</v>
      </c>
      <c r="C6" s="5" t="s">
        <v>443</v>
      </c>
    </row>
    <row r="7" customFormat="false" ht="15" hidden="false" customHeight="true" outlineLevel="0" collapsed="false">
      <c r="A7" s="5" t="s">
        <v>444</v>
      </c>
      <c r="B7" s="6" t="s">
        <v>445</v>
      </c>
      <c r="C7" s="5" t="s">
        <v>446</v>
      </c>
    </row>
    <row r="8" customFormat="false" ht="15" hidden="false" customHeight="true" outlineLevel="0" collapsed="false">
      <c r="A8" s="5" t="s">
        <v>447</v>
      </c>
      <c r="B8" s="6" t="s">
        <v>448</v>
      </c>
      <c r="C8" s="5" t="s">
        <v>449</v>
      </c>
    </row>
    <row r="9" customFormat="false" ht="15" hidden="false" customHeight="true" outlineLevel="0" collapsed="false">
      <c r="A9" s="5" t="s">
        <v>450</v>
      </c>
      <c r="B9" s="6" t="s">
        <v>451</v>
      </c>
      <c r="C9" s="5" t="s">
        <v>452</v>
      </c>
    </row>
    <row r="10" customFormat="false" ht="15" hidden="false" customHeight="true" outlineLevel="0" collapsed="false">
      <c r="A10" s="5" t="s">
        <v>453</v>
      </c>
      <c r="B10" s="6" t="s">
        <v>454</v>
      </c>
      <c r="C10" s="5" t="s">
        <v>455</v>
      </c>
    </row>
    <row r="11" customFormat="false" ht="15" hidden="false" customHeight="true" outlineLevel="0" collapsed="false">
      <c r="A11" s="5" t="s">
        <v>456</v>
      </c>
      <c r="B11" s="6" t="s">
        <v>457</v>
      </c>
      <c r="C11" s="5" t="s">
        <v>458</v>
      </c>
    </row>
    <row r="12" customFormat="false" ht="15" hidden="false" customHeight="true" outlineLevel="0" collapsed="false">
      <c r="A12" s="5" t="s">
        <v>459</v>
      </c>
      <c r="B12" s="6" t="s">
        <v>460</v>
      </c>
      <c r="C12" s="5" t="s">
        <v>461</v>
      </c>
    </row>
    <row r="13" customFormat="false" ht="15" hidden="false" customHeight="true" outlineLevel="0" collapsed="false">
      <c r="A13" s="5" t="s">
        <v>462</v>
      </c>
      <c r="B13" s="6" t="s">
        <v>463</v>
      </c>
      <c r="C13" s="5" t="s">
        <v>464</v>
      </c>
    </row>
    <row r="14" customFormat="false" ht="15" hidden="false" customHeight="true" outlineLevel="0" collapsed="false">
      <c r="A14" s="5" t="s">
        <v>465</v>
      </c>
      <c r="B14" s="6" t="s">
        <v>466</v>
      </c>
      <c r="C14" s="5" t="s">
        <v>467</v>
      </c>
    </row>
    <row r="15" customFormat="false" ht="15" hidden="false" customHeight="true" outlineLevel="0" collapsed="false">
      <c r="A15" s="5" t="s">
        <v>74</v>
      </c>
      <c r="B15" s="6" t="s">
        <v>468</v>
      </c>
      <c r="C15" s="5" t="s">
        <v>469</v>
      </c>
    </row>
    <row r="16" customFormat="false" ht="15" hidden="false" customHeight="true" outlineLevel="0" collapsed="false">
      <c r="A16" s="5" t="s">
        <v>470</v>
      </c>
      <c r="B16" s="6" t="s">
        <v>471</v>
      </c>
      <c r="C16" s="5" t="s">
        <v>472</v>
      </c>
    </row>
    <row r="17" customFormat="false" ht="15" hidden="false" customHeight="true" outlineLevel="0" collapsed="false">
      <c r="A17" s="5" t="s">
        <v>473</v>
      </c>
      <c r="B17" s="6" t="s">
        <v>474</v>
      </c>
      <c r="C17" s="5" t="s">
        <v>475</v>
      </c>
    </row>
    <row r="18" customFormat="false" ht="15" hidden="false" customHeight="true" outlineLevel="0" collapsed="false">
      <c r="A18" s="5" t="s">
        <v>476</v>
      </c>
      <c r="B18" s="6" t="s">
        <v>477</v>
      </c>
      <c r="C18" s="5" t="s">
        <v>478</v>
      </c>
    </row>
    <row r="19" customFormat="false" ht="15" hidden="false" customHeight="true" outlineLevel="0" collapsed="false">
      <c r="A19" s="5" t="s">
        <v>479</v>
      </c>
      <c r="B19" s="6" t="s">
        <v>480</v>
      </c>
      <c r="C19" s="5" t="s">
        <v>481</v>
      </c>
    </row>
    <row r="20" customFormat="false" ht="15" hidden="false" customHeight="true" outlineLevel="0" collapsed="false">
      <c r="A20" s="5" t="s">
        <v>482</v>
      </c>
      <c r="B20" s="6" t="s">
        <v>483</v>
      </c>
      <c r="C20" s="5" t="s">
        <v>484</v>
      </c>
    </row>
    <row r="21" customFormat="false" ht="15" hidden="false" customHeight="true" outlineLevel="0" collapsed="false">
      <c r="A21" s="5" t="s">
        <v>485</v>
      </c>
      <c r="B21" s="6" t="s">
        <v>486</v>
      </c>
      <c r="C21" s="5" t="s">
        <v>487</v>
      </c>
    </row>
    <row r="22" customFormat="false" ht="15" hidden="false" customHeight="true" outlineLevel="0" collapsed="false">
      <c r="A22" s="5" t="s">
        <v>488</v>
      </c>
      <c r="B22" s="6" t="s">
        <v>489</v>
      </c>
      <c r="C22" s="5" t="s">
        <v>490</v>
      </c>
    </row>
    <row r="23" customFormat="false" ht="15" hidden="false" customHeight="true" outlineLevel="0" collapsed="false">
      <c r="A23" s="5" t="s">
        <v>491</v>
      </c>
      <c r="B23" s="6" t="s">
        <v>492</v>
      </c>
      <c r="C23" s="5" t="s">
        <v>493</v>
      </c>
    </row>
    <row r="24" customFormat="false" ht="15" hidden="false" customHeight="true" outlineLevel="0" collapsed="false">
      <c r="A24" s="5" t="s">
        <v>494</v>
      </c>
      <c r="B24" s="6" t="s">
        <v>495</v>
      </c>
      <c r="C24" s="5" t="s">
        <v>496</v>
      </c>
    </row>
    <row r="25" customFormat="false" ht="15" hidden="false" customHeight="true" outlineLevel="0" collapsed="false">
      <c r="A25" s="5" t="s">
        <v>497</v>
      </c>
      <c r="B25" s="6" t="s">
        <v>498</v>
      </c>
      <c r="C25" s="5" t="s">
        <v>499</v>
      </c>
    </row>
    <row r="26" customFormat="false" ht="15" hidden="false" customHeight="true" outlineLevel="0" collapsed="false">
      <c r="A26" s="5" t="s">
        <v>500</v>
      </c>
      <c r="B26" s="6" t="s">
        <v>501</v>
      </c>
      <c r="C26" s="5" t="s">
        <v>478</v>
      </c>
    </row>
    <row r="27" customFormat="false" ht="15" hidden="false" customHeight="true" outlineLevel="0" collapsed="false">
      <c r="A27" s="5" t="s">
        <v>502</v>
      </c>
      <c r="B27" s="6" t="s">
        <v>503</v>
      </c>
      <c r="C27" s="5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2026-10-09T05:58:32Z</dcterms:created>
  <dc:creator>openpyxl</dc:creator>
  <dc:description/>
  <dc:language>en-US</dc:language>
  <cp:lastModifiedBy/>
  <dcterms:modified xsi:type="dcterms:W3CDTF">2026-10-10T01:51:42Z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